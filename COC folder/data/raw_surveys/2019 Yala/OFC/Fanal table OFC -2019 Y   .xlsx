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105" windowWidth="18195" windowHeight="7680" firstSheet="14" activeTab="18"/>
  </bookViews>
  <sheets>
    <sheet name="Maize Badulla" sheetId="9" r:id="rId1"/>
    <sheet name="Cowpea Ampara RF" sheetId="6" r:id="rId2"/>
    <sheet name="Big onion Matale" sheetId="1" r:id="rId3"/>
    <sheet name="Green chilli A pura" sheetId="8" r:id="rId4"/>
    <sheet name="Red onion Puttlam" sheetId="14" r:id="rId5"/>
    <sheet name="Red onion Trinco" sheetId="15" r:id="rId6"/>
    <sheet name="Gingelly A Pura RF" sheetId="7" r:id="rId7"/>
    <sheet name="Soya bean SystemH" sheetId="17" r:id="rId8"/>
    <sheet name="Manioc Gampaha RF" sheetId="10" r:id="rId9"/>
    <sheet name="Potato Badulla" sheetId="12" r:id="rId10"/>
    <sheet name="Potato N eliya" sheetId="13" r:id="rId11"/>
    <sheet name="Sweet potato Matale" sheetId="18" r:id="rId12"/>
    <sheet name="Brinjal Hambantota" sheetId="3" r:id="rId13"/>
    <sheet name="Bitter gourd Hambantota" sheetId="2" r:id="rId14"/>
    <sheet name="Cabbage N Eliya" sheetId="4" r:id="rId15"/>
    <sheet name="Carrot N Eliya" sheetId="5" r:id="rId16"/>
    <sheet name="Pole bean Badulla" sheetId="11" r:id="rId17"/>
    <sheet name="Tomato Badulla" sheetId="19" r:id="rId18"/>
    <sheet name="Tomato Kandy" sheetId="20" r:id="rId19"/>
    <sheet name="Statistical Table OFC  2019 Yal" sheetId="21" r:id="rId20"/>
  </sheets>
  <calcPr calcId="144525"/>
</workbook>
</file>

<file path=xl/calcChain.xml><?xml version="1.0" encoding="utf-8"?>
<calcChain xmlns="http://schemas.openxmlformats.org/spreadsheetml/2006/main">
  <c r="AP28" i="21"/>
  <c r="AO28"/>
  <c r="AN28"/>
  <c r="AM28"/>
  <c r="AH28"/>
  <c r="AL28" s="1"/>
  <c r="AE28"/>
  <c r="AC28"/>
  <c r="Z28"/>
  <c r="V28"/>
  <c r="U28"/>
  <c r="W28" s="1"/>
  <c r="S28"/>
  <c r="Q28"/>
  <c r="N28"/>
  <c r="M28" s="1"/>
  <c r="K28"/>
  <c r="G28"/>
  <c r="AP27"/>
  <c r="AO27"/>
  <c r="AN27"/>
  <c r="AM27"/>
  <c r="AI27"/>
  <c r="AH27"/>
  <c r="AL27" s="1"/>
  <c r="AE27"/>
  <c r="AC27"/>
  <c r="Z27"/>
  <c r="V27"/>
  <c r="U27" s="1"/>
  <c r="S27"/>
  <c r="N27"/>
  <c r="K27" s="1"/>
  <c r="I27"/>
  <c r="G27"/>
  <c r="AP26"/>
  <c r="AO26"/>
  <c r="AN26"/>
  <c r="AM26"/>
  <c r="AH26"/>
  <c r="AL26" s="1"/>
  <c r="AE26"/>
  <c r="Z26"/>
  <c r="V26"/>
  <c r="S26"/>
  <c r="N26"/>
  <c r="K26"/>
  <c r="I26"/>
  <c r="G26"/>
  <c r="AP25"/>
  <c r="AO25"/>
  <c r="AN25"/>
  <c r="AM25"/>
  <c r="AI25"/>
  <c r="AH25"/>
  <c r="AL25" s="1"/>
  <c r="AE25"/>
  <c r="Z25"/>
  <c r="V25"/>
  <c r="U25"/>
  <c r="W25" s="1"/>
  <c r="S25"/>
  <c r="Q25"/>
  <c r="N25"/>
  <c r="M25" s="1"/>
  <c r="K25"/>
  <c r="G25"/>
  <c r="AP24"/>
  <c r="AO24"/>
  <c r="AN24"/>
  <c r="AM24"/>
  <c r="AI24"/>
  <c r="AH24"/>
  <c r="AL24" s="1"/>
  <c r="AE24"/>
  <c r="AC24"/>
  <c r="Z24"/>
  <c r="V24"/>
  <c r="U24" s="1"/>
  <c r="S24"/>
  <c r="N24"/>
  <c r="M24"/>
  <c r="K24"/>
  <c r="I24"/>
  <c r="O24" s="1"/>
  <c r="G24"/>
  <c r="AP23"/>
  <c r="AO23"/>
  <c r="AN23"/>
  <c r="AM23"/>
  <c r="AH23"/>
  <c r="AL23" s="1"/>
  <c r="AE23"/>
  <c r="AC23"/>
  <c r="Z23"/>
  <c r="V23"/>
  <c r="U23"/>
  <c r="W23" s="1"/>
  <c r="S23"/>
  <c r="Q23"/>
  <c r="N23"/>
  <c r="M23" s="1"/>
  <c r="K23"/>
  <c r="G23"/>
  <c r="AP22"/>
  <c r="AO22"/>
  <c r="AN22"/>
  <c r="AM22"/>
  <c r="AI22"/>
  <c r="AH22"/>
  <c r="AL22" s="1"/>
  <c r="AE22"/>
  <c r="AC22"/>
  <c r="Z22"/>
  <c r="V22"/>
  <c r="U22" s="1"/>
  <c r="S22"/>
  <c r="N22"/>
  <c r="M22"/>
  <c r="K22"/>
  <c r="I22"/>
  <c r="O22" s="1"/>
  <c r="G22"/>
  <c r="AP21"/>
  <c r="AO21"/>
  <c r="AN21"/>
  <c r="AM21"/>
  <c r="AH21"/>
  <c r="AL21" s="1"/>
  <c r="AE21"/>
  <c r="Z21"/>
  <c r="V21"/>
  <c r="U21" s="1"/>
  <c r="S21"/>
  <c r="N21"/>
  <c r="M21"/>
  <c r="K21"/>
  <c r="I21"/>
  <c r="O21" s="1"/>
  <c r="G21"/>
  <c r="AP20"/>
  <c r="AO20"/>
  <c r="AN20"/>
  <c r="AM20"/>
  <c r="AH20"/>
  <c r="AL20" s="1"/>
  <c r="AE20"/>
  <c r="Z20"/>
  <c r="V20"/>
  <c r="U20" s="1"/>
  <c r="S20"/>
  <c r="N20"/>
  <c r="M20"/>
  <c r="K20"/>
  <c r="I20"/>
  <c r="O20" s="1"/>
  <c r="G20"/>
  <c r="AP19"/>
  <c r="AO19"/>
  <c r="AN19"/>
  <c r="AM19"/>
  <c r="AH19"/>
  <c r="AL19" s="1"/>
  <c r="AE19"/>
  <c r="Z19"/>
  <c r="V19"/>
  <c r="U19" s="1"/>
  <c r="S19"/>
  <c r="N19"/>
  <c r="M19"/>
  <c r="K19"/>
  <c r="I19"/>
  <c r="O19" s="1"/>
  <c r="G19"/>
  <c r="AP18"/>
  <c r="AO18"/>
  <c r="AN18"/>
  <c r="AM18"/>
  <c r="AH18"/>
  <c r="AL18" s="1"/>
  <c r="AE18"/>
  <c r="Z18"/>
  <c r="V18"/>
  <c r="U18" s="1"/>
  <c r="S18"/>
  <c r="N18"/>
  <c r="M18"/>
  <c r="K18"/>
  <c r="I18"/>
  <c r="O18" s="1"/>
  <c r="G18"/>
  <c r="AP17"/>
  <c r="AO17"/>
  <c r="AN17"/>
  <c r="AM17"/>
  <c r="AH17"/>
  <c r="AL17" s="1"/>
  <c r="AE17"/>
  <c r="AC17"/>
  <c r="Z17"/>
  <c r="V17"/>
  <c r="U17" s="1"/>
  <c r="Q17"/>
  <c r="N17"/>
  <c r="M17" s="1"/>
  <c r="K17"/>
  <c r="G17"/>
  <c r="AP16"/>
  <c r="AO16"/>
  <c r="AN16"/>
  <c r="AM16"/>
  <c r="AI16"/>
  <c r="AH16"/>
  <c r="AL16" s="1"/>
  <c r="AE16"/>
  <c r="Z16"/>
  <c r="V16"/>
  <c r="N16"/>
  <c r="M16"/>
  <c r="K16"/>
  <c r="G16"/>
  <c r="AP15"/>
  <c r="AO15"/>
  <c r="AN15"/>
  <c r="AM15"/>
  <c r="AI15"/>
  <c r="AH15"/>
  <c r="AL15" s="1"/>
  <c r="AE15"/>
  <c r="AC15"/>
  <c r="Z15"/>
  <c r="V15"/>
  <c r="U15" s="1"/>
  <c r="S15"/>
  <c r="N15"/>
  <c r="M15"/>
  <c r="K15"/>
  <c r="I15"/>
  <c r="O15" s="1"/>
  <c r="G15"/>
  <c r="AP14"/>
  <c r="AO14"/>
  <c r="AN14"/>
  <c r="AM14"/>
  <c r="AJ14"/>
  <c r="AK14" s="1"/>
  <c r="AH14"/>
  <c r="AI14" s="1"/>
  <c r="AE14"/>
  <c r="AC14"/>
  <c r="Z14"/>
  <c r="V14"/>
  <c r="U14"/>
  <c r="W14" s="1"/>
  <c r="S14"/>
  <c r="Q14"/>
  <c r="N14"/>
  <c r="M14"/>
  <c r="I14"/>
  <c r="G14"/>
  <c r="AP13"/>
  <c r="AO13"/>
  <c r="AN13"/>
  <c r="AM13"/>
  <c r="AI13"/>
  <c r="AH13"/>
  <c r="AL13" s="1"/>
  <c r="AE13"/>
  <c r="AC13"/>
  <c r="Z13"/>
  <c r="V13"/>
  <c r="S13"/>
  <c r="N13"/>
  <c r="M13"/>
  <c r="K13"/>
  <c r="I13"/>
  <c r="O13" s="1"/>
  <c r="G13"/>
  <c r="AP12"/>
  <c r="AO12"/>
  <c r="AN12"/>
  <c r="AI12"/>
  <c r="AH12"/>
  <c r="AL12" s="1"/>
  <c r="AE12"/>
  <c r="AC12"/>
  <c r="Z12"/>
  <c r="V12"/>
  <c r="S12" s="1"/>
  <c r="N12"/>
  <c r="M12"/>
  <c r="K12"/>
  <c r="I12"/>
  <c r="O12" s="1"/>
  <c r="G12"/>
  <c r="AP11"/>
  <c r="AO11"/>
  <c r="AN11"/>
  <c r="AM11"/>
  <c r="AH11"/>
  <c r="AI11" s="1"/>
  <c r="AE11"/>
  <c r="Z11"/>
  <c r="V11"/>
  <c r="S11"/>
  <c r="N11"/>
  <c r="M11"/>
  <c r="K11"/>
  <c r="I11"/>
  <c r="O11" s="1"/>
  <c r="G11"/>
  <c r="AP10"/>
  <c r="AO10"/>
  <c r="AN10"/>
  <c r="AM10"/>
  <c r="AJ10"/>
  <c r="AH10"/>
  <c r="AI10" s="1"/>
  <c r="AE10"/>
  <c r="AC10"/>
  <c r="Z10"/>
  <c r="V10"/>
  <c r="U10" s="1"/>
  <c r="S10"/>
  <c r="N10"/>
  <c r="M10"/>
  <c r="K10"/>
  <c r="I10"/>
  <c r="O10" s="1"/>
  <c r="G10"/>
  <c r="Q10" l="1"/>
  <c r="W10" s="1"/>
  <c r="AL10"/>
  <c r="U11"/>
  <c r="Q11"/>
  <c r="AJ11"/>
  <c r="AK11" s="1"/>
  <c r="U13"/>
  <c r="Q13"/>
  <c r="AK10"/>
  <c r="AL11"/>
  <c r="U12"/>
  <c r="Q12"/>
  <c r="AL14"/>
  <c r="AJ12"/>
  <c r="AK12" s="1"/>
  <c r="AJ13"/>
  <c r="AK13" s="1"/>
  <c r="Q15"/>
  <c r="W15" s="1"/>
  <c r="AJ15"/>
  <c r="AK15" s="1"/>
  <c r="AJ16"/>
  <c r="AK16" s="1"/>
  <c r="I17"/>
  <c r="O17" s="1"/>
  <c r="AI17"/>
  <c r="Q18"/>
  <c r="W18" s="1"/>
  <c r="AI18"/>
  <c r="Q19"/>
  <c r="W19" s="1"/>
  <c r="AI19"/>
  <c r="Q20"/>
  <c r="W20" s="1"/>
  <c r="AI20"/>
  <c r="Q21"/>
  <c r="W21" s="1"/>
  <c r="AI21"/>
  <c r="Q22"/>
  <c r="W22" s="1"/>
  <c r="AJ22"/>
  <c r="AK22" s="1"/>
  <c r="I23"/>
  <c r="O23" s="1"/>
  <c r="AI23"/>
  <c r="Q24"/>
  <c r="W24" s="1"/>
  <c r="AJ24"/>
  <c r="AK24" s="1"/>
  <c r="I25"/>
  <c r="O25" s="1"/>
  <c r="AJ25"/>
  <c r="AK25" s="1"/>
  <c r="AI26"/>
  <c r="Q27"/>
  <c r="W27" s="1"/>
  <c r="AJ27"/>
  <c r="AK27" s="1"/>
  <c r="I28"/>
  <c r="O28" s="1"/>
  <c r="AI28"/>
  <c r="AJ17"/>
  <c r="AK17" s="1"/>
  <c r="AJ18"/>
  <c r="AK18" s="1"/>
  <c r="AJ19"/>
  <c r="AK19" s="1"/>
  <c r="AJ20"/>
  <c r="AK20" s="1"/>
  <c r="AJ21"/>
  <c r="AK21" s="1"/>
  <c r="AJ23"/>
  <c r="AK23" s="1"/>
  <c r="AJ26"/>
  <c r="AK26" s="1"/>
  <c r="AJ28"/>
  <c r="AK28" s="1"/>
  <c r="W11" l="1"/>
  <c r="W12"/>
  <c r="W13"/>
  <c r="G48" i="20" l="1"/>
  <c r="E38"/>
  <c r="H25"/>
  <c r="M24"/>
  <c r="L24"/>
  <c r="I24"/>
  <c r="I25" s="1"/>
  <c r="H24"/>
  <c r="F24"/>
  <c r="E24"/>
  <c r="E25" s="1"/>
  <c r="K23"/>
  <c r="K22"/>
  <c r="K21"/>
  <c r="K20"/>
  <c r="K19"/>
  <c r="J18"/>
  <c r="J24" s="1"/>
  <c r="J25" s="1"/>
  <c r="K17"/>
  <c r="K16"/>
  <c r="K14"/>
  <c r="K12"/>
  <c r="K11"/>
  <c r="K10"/>
  <c r="K25" l="1"/>
  <c r="G53" s="1"/>
  <c r="G50"/>
  <c r="K18"/>
  <c r="K24" s="1"/>
  <c r="G52" l="1"/>
  <c r="G49"/>
  <c r="G46" i="19" l="1"/>
  <c r="E36"/>
  <c r="I26"/>
  <c r="H23"/>
  <c r="M22"/>
  <c r="L22"/>
  <c r="I22"/>
  <c r="I23" s="1"/>
  <c r="H22"/>
  <c r="G22"/>
  <c r="F22"/>
  <c r="E22"/>
  <c r="E23" s="1"/>
  <c r="K21"/>
  <c r="K20"/>
  <c r="K19"/>
  <c r="K18"/>
  <c r="K17"/>
  <c r="K16"/>
  <c r="J15"/>
  <c r="J22" s="1"/>
  <c r="J23" s="1"/>
  <c r="K14"/>
  <c r="K13"/>
  <c r="K11"/>
  <c r="K10"/>
  <c r="K9"/>
  <c r="K23" l="1"/>
  <c r="G51" s="1"/>
  <c r="G48"/>
  <c r="K15"/>
  <c r="K22" s="1"/>
  <c r="G50" l="1"/>
  <c r="G47"/>
  <c r="G45" i="18" l="1"/>
  <c r="E36"/>
  <c r="H23"/>
  <c r="M22"/>
  <c r="L22"/>
  <c r="I23" s="1"/>
  <c r="I22"/>
  <c r="H22"/>
  <c r="F22"/>
  <c r="E22"/>
  <c r="E23" s="1"/>
  <c r="K21"/>
  <c r="K20"/>
  <c r="K19"/>
  <c r="K18"/>
  <c r="J16"/>
  <c r="K16" s="1"/>
  <c r="K15"/>
  <c r="K14"/>
  <c r="K11"/>
  <c r="K22" s="1"/>
  <c r="G49" s="1"/>
  <c r="J22" l="1"/>
  <c r="J23" s="1"/>
  <c r="K23" s="1"/>
  <c r="G46"/>
  <c r="G50" l="1"/>
  <c r="G47"/>
  <c r="G45" i="17" l="1"/>
  <c r="E35"/>
  <c r="H23"/>
  <c r="M22"/>
  <c r="L22"/>
  <c r="I22"/>
  <c r="I23" s="1"/>
  <c r="F22"/>
  <c r="E22"/>
  <c r="E23" s="1"/>
  <c r="K21"/>
  <c r="H21"/>
  <c r="K20"/>
  <c r="H20"/>
  <c r="K19"/>
  <c r="H19"/>
  <c r="K18"/>
  <c r="H18"/>
  <c r="K17"/>
  <c r="H16"/>
  <c r="K16" s="1"/>
  <c r="H15"/>
  <c r="K15" s="1"/>
  <c r="J14"/>
  <c r="K14" s="1"/>
  <c r="H14"/>
  <c r="K13"/>
  <c r="J13"/>
  <c r="J22" s="1"/>
  <c r="J23" s="1"/>
  <c r="K12"/>
  <c r="H12"/>
  <c r="K10"/>
  <c r="H10"/>
  <c r="K9"/>
  <c r="K22" s="1"/>
  <c r="H9"/>
  <c r="H22" s="1"/>
  <c r="G49" l="1"/>
  <c r="G46"/>
  <c r="K23"/>
  <c r="G50" s="1"/>
  <c r="G47" l="1"/>
  <c r="G48" i="15" l="1"/>
  <c r="E36"/>
  <c r="H24"/>
  <c r="M23"/>
  <c r="L23"/>
  <c r="I23"/>
  <c r="I24" s="1"/>
  <c r="F23"/>
  <c r="E23"/>
  <c r="E24" s="1"/>
  <c r="K22"/>
  <c r="K21"/>
  <c r="K20"/>
  <c r="K19"/>
  <c r="K18"/>
  <c r="K17"/>
  <c r="K16"/>
  <c r="K15"/>
  <c r="J14"/>
  <c r="J23" s="1"/>
  <c r="J24" s="1"/>
  <c r="K13"/>
  <c r="K12"/>
  <c r="K11"/>
  <c r="H10"/>
  <c r="H23" s="1"/>
  <c r="K24" l="1"/>
  <c r="G53" s="1"/>
  <c r="G50"/>
  <c r="K14"/>
  <c r="G49"/>
  <c r="K10"/>
  <c r="K23" s="1"/>
  <c r="G52" s="1"/>
  <c r="G43" i="14" l="1"/>
  <c r="E33"/>
  <c r="H23"/>
  <c r="M22"/>
  <c r="L22"/>
  <c r="I23" s="1"/>
  <c r="I22"/>
  <c r="H22"/>
  <c r="F22"/>
  <c r="E22"/>
  <c r="E23" s="1"/>
  <c r="K21"/>
  <c r="K20"/>
  <c r="K19"/>
  <c r="K18"/>
  <c r="K17"/>
  <c r="K16"/>
  <c r="K15"/>
  <c r="K14"/>
  <c r="J13"/>
  <c r="K13" s="1"/>
  <c r="K12"/>
  <c r="K11"/>
  <c r="K10"/>
  <c r="K22" s="1"/>
  <c r="G46" s="1"/>
  <c r="J22" l="1"/>
  <c r="J23" s="1"/>
  <c r="K23" s="1"/>
  <c r="G44"/>
  <c r="G47" l="1"/>
  <c r="G45"/>
  <c r="G44" i="13" l="1"/>
  <c r="E34"/>
  <c r="H21"/>
  <c r="M20"/>
  <c r="J21" s="1"/>
  <c r="K21" s="1"/>
  <c r="G49" s="1"/>
  <c r="L20"/>
  <c r="J20"/>
  <c r="I20"/>
  <c r="I21" s="1"/>
  <c r="F20"/>
  <c r="E20"/>
  <c r="E21" s="1"/>
  <c r="K19"/>
  <c r="H19"/>
  <c r="K18"/>
  <c r="H18"/>
  <c r="K17"/>
  <c r="H17"/>
  <c r="K16"/>
  <c r="K15"/>
  <c r="K14"/>
  <c r="H14"/>
  <c r="K13"/>
  <c r="H11"/>
  <c r="K11" s="1"/>
  <c r="H10"/>
  <c r="H20" s="1"/>
  <c r="G46" l="1"/>
  <c r="K10"/>
  <c r="K20" s="1"/>
  <c r="G48" l="1"/>
  <c r="G45"/>
  <c r="G44" i="12" l="1"/>
  <c r="E34"/>
  <c r="H21"/>
  <c r="M20"/>
  <c r="L20"/>
  <c r="I21" s="1"/>
  <c r="K21" s="1"/>
  <c r="G49" s="1"/>
  <c r="J20"/>
  <c r="J21" s="1"/>
  <c r="I20"/>
  <c r="H20"/>
  <c r="F20"/>
  <c r="E20"/>
  <c r="E21" s="1"/>
  <c r="K19"/>
  <c r="K18"/>
  <c r="K17"/>
  <c r="K16"/>
  <c r="K15"/>
  <c r="K14"/>
  <c r="J14"/>
  <c r="K13"/>
  <c r="J13"/>
  <c r="K12"/>
  <c r="K10"/>
  <c r="K9"/>
  <c r="K20" s="1"/>
  <c r="G48" s="1"/>
  <c r="G46" l="1"/>
  <c r="G45"/>
  <c r="G43" i="11" l="1"/>
  <c r="E33"/>
  <c r="H21"/>
  <c r="M20"/>
  <c r="L20"/>
  <c r="I20"/>
  <c r="I21" s="1"/>
  <c r="F20"/>
  <c r="E20"/>
  <c r="E21" s="1"/>
  <c r="K19"/>
  <c r="K18"/>
  <c r="K17"/>
  <c r="K16"/>
  <c r="K15"/>
  <c r="J14"/>
  <c r="J20" s="1"/>
  <c r="J21" s="1"/>
  <c r="K13"/>
  <c r="K12"/>
  <c r="H10"/>
  <c r="K10" s="1"/>
  <c r="H9"/>
  <c r="H20" s="1"/>
  <c r="K21" l="1"/>
  <c r="G48" s="1"/>
  <c r="G45"/>
  <c r="K9"/>
  <c r="K20" s="1"/>
  <c r="G47" s="1"/>
  <c r="K14"/>
  <c r="G44" l="1"/>
  <c r="G39" i="10" l="1"/>
  <c r="E30"/>
  <c r="H18"/>
  <c r="L17"/>
  <c r="I18" s="1"/>
  <c r="K18" s="1"/>
  <c r="G44" s="1"/>
  <c r="J17"/>
  <c r="J18" s="1"/>
  <c r="I17"/>
  <c r="H17"/>
  <c r="F17"/>
  <c r="E17"/>
  <c r="K13"/>
  <c r="K12"/>
  <c r="K11"/>
  <c r="K10"/>
  <c r="K9"/>
  <c r="K17" s="1"/>
  <c r="G43" s="1"/>
  <c r="G40" l="1"/>
  <c r="G41"/>
  <c r="G51" i="9" l="1"/>
  <c r="M26"/>
  <c r="L26"/>
  <c r="I26"/>
  <c r="I27" s="1"/>
  <c r="K27" s="1"/>
  <c r="G56" s="1"/>
  <c r="H26"/>
  <c r="F26"/>
  <c r="E38" s="1"/>
  <c r="E26"/>
  <c r="E37" s="1"/>
  <c r="K25"/>
  <c r="K24"/>
  <c r="K22"/>
  <c r="K21"/>
  <c r="K20"/>
  <c r="K19"/>
  <c r="K18"/>
  <c r="K17"/>
  <c r="K16"/>
  <c r="J16"/>
  <c r="J26" s="1"/>
  <c r="J27" s="1"/>
  <c r="K15"/>
  <c r="K14"/>
  <c r="K13"/>
  <c r="K11"/>
  <c r="K9"/>
  <c r="K26" s="1"/>
  <c r="G55" s="1"/>
  <c r="E39" l="1"/>
  <c r="G53"/>
  <c r="E27"/>
  <c r="G52"/>
  <c r="G44" i="8" l="1"/>
  <c r="E33"/>
  <c r="H21"/>
  <c r="L20"/>
  <c r="I21" s="1"/>
  <c r="K21" s="1"/>
  <c r="G49" s="1"/>
  <c r="I20"/>
  <c r="E20"/>
  <c r="K19"/>
  <c r="H18"/>
  <c r="H20" s="1"/>
  <c r="K17"/>
  <c r="K16"/>
  <c r="J15"/>
  <c r="J20" s="1"/>
  <c r="J21" s="1"/>
  <c r="K14"/>
  <c r="K13"/>
  <c r="K12"/>
  <c r="K10"/>
  <c r="G46" l="1"/>
  <c r="K15"/>
  <c r="K20" s="1"/>
  <c r="K18"/>
  <c r="G48" l="1"/>
  <c r="G45"/>
  <c r="G34" i="7" l="1"/>
  <c r="E29"/>
  <c r="H17"/>
  <c r="M16"/>
  <c r="L16"/>
  <c r="J16"/>
  <c r="J17" s="1"/>
  <c r="I16"/>
  <c r="I17" s="1"/>
  <c r="F16"/>
  <c r="E16"/>
  <c r="E17" s="1"/>
  <c r="K15"/>
  <c r="H15"/>
  <c r="K14"/>
  <c r="H14"/>
  <c r="K13"/>
  <c r="H13"/>
  <c r="K12"/>
  <c r="H11"/>
  <c r="K11" s="1"/>
  <c r="H9"/>
  <c r="K9" s="1"/>
  <c r="H8"/>
  <c r="H16" s="1"/>
  <c r="K17" l="1"/>
  <c r="G39" s="1"/>
  <c r="G35"/>
  <c r="K8"/>
  <c r="K16" s="1"/>
  <c r="G38" s="1"/>
  <c r="G36" l="1"/>
  <c r="G38" i="6" l="1"/>
  <c r="E33"/>
  <c r="H20"/>
  <c r="M19"/>
  <c r="L19"/>
  <c r="J19"/>
  <c r="J20" s="1"/>
  <c r="I19"/>
  <c r="I20" s="1"/>
  <c r="F19"/>
  <c r="E19"/>
  <c r="E20" s="1"/>
  <c r="H18"/>
  <c r="H17"/>
  <c r="H15"/>
  <c r="H12"/>
  <c r="H10"/>
  <c r="H19" s="1"/>
  <c r="K19" s="1"/>
  <c r="G42" s="1"/>
  <c r="K20" l="1"/>
  <c r="G43" s="1"/>
  <c r="G39"/>
  <c r="G40" l="1"/>
  <c r="G42" i="5" l="1"/>
  <c r="E32"/>
  <c r="H20"/>
  <c r="M19"/>
  <c r="J20" s="1"/>
  <c r="L19"/>
  <c r="J19"/>
  <c r="I19"/>
  <c r="I20" s="1"/>
  <c r="F19"/>
  <c r="E19"/>
  <c r="E20" s="1"/>
  <c r="K18"/>
  <c r="K17"/>
  <c r="K16"/>
  <c r="K15"/>
  <c r="K14"/>
  <c r="K13"/>
  <c r="K12"/>
  <c r="H12"/>
  <c r="H19" s="1"/>
  <c r="K11"/>
  <c r="K10"/>
  <c r="K19" s="1"/>
  <c r="G46" l="1"/>
  <c r="G43"/>
  <c r="K20"/>
  <c r="G47" s="1"/>
  <c r="G44" l="1"/>
  <c r="G44" i="4" l="1"/>
  <c r="E34"/>
  <c r="H21"/>
  <c r="M20"/>
  <c r="L20"/>
  <c r="I21" s="1"/>
  <c r="K21" s="1"/>
  <c r="G49" s="1"/>
  <c r="I20"/>
  <c r="H20"/>
  <c r="G20"/>
  <c r="F20"/>
  <c r="E21" s="1"/>
  <c r="E20"/>
  <c r="K18"/>
  <c r="K17"/>
  <c r="K16"/>
  <c r="J15"/>
  <c r="J20" s="1"/>
  <c r="J21" s="1"/>
  <c r="K14"/>
  <c r="K13"/>
  <c r="K11"/>
  <c r="K10"/>
  <c r="K9"/>
  <c r="G46" l="1"/>
  <c r="K15"/>
  <c r="K20" s="1"/>
  <c r="G48" l="1"/>
  <c r="G45"/>
  <c r="G43" i="3" l="1"/>
  <c r="E33"/>
  <c r="H20"/>
  <c r="M19"/>
  <c r="L19"/>
  <c r="J19"/>
  <c r="J20" s="1"/>
  <c r="I19"/>
  <c r="I20" s="1"/>
  <c r="F19"/>
  <c r="E19"/>
  <c r="E20" s="1"/>
  <c r="K18"/>
  <c r="H18"/>
  <c r="K17"/>
  <c r="K16"/>
  <c r="K15"/>
  <c r="K14"/>
  <c r="K13"/>
  <c r="H12"/>
  <c r="H19" s="1"/>
  <c r="K11"/>
  <c r="K10"/>
  <c r="K9"/>
  <c r="K20" l="1"/>
  <c r="G48" s="1"/>
  <c r="G45"/>
  <c r="K12"/>
  <c r="K19" s="1"/>
  <c r="G47" l="1"/>
  <c r="G44"/>
  <c r="G41" i="2" l="1"/>
  <c r="H19"/>
  <c r="M18"/>
  <c r="L18"/>
  <c r="I18"/>
  <c r="I19" s="1"/>
  <c r="F18"/>
  <c r="E18"/>
  <c r="E19" s="1"/>
  <c r="K17"/>
  <c r="K16"/>
  <c r="H15"/>
  <c r="K15" s="1"/>
  <c r="K14"/>
  <c r="K13"/>
  <c r="J12"/>
  <c r="K12" s="1"/>
  <c r="K11"/>
  <c r="K9"/>
  <c r="K18" s="1"/>
  <c r="G45" s="1"/>
  <c r="H18" l="1"/>
  <c r="J18"/>
  <c r="J19" s="1"/>
  <c r="K19" s="1"/>
  <c r="G42"/>
  <c r="G46" l="1"/>
  <c r="G43"/>
  <c r="G47" i="1" l="1"/>
  <c r="E36"/>
  <c r="H24"/>
  <c r="M23"/>
  <c r="L23"/>
  <c r="I23"/>
  <c r="I24" s="1"/>
  <c r="H23"/>
  <c r="F23"/>
  <c r="E23"/>
  <c r="E24" s="1"/>
  <c r="K22"/>
  <c r="K21"/>
  <c r="K20"/>
  <c r="K19"/>
  <c r="K18"/>
  <c r="K17"/>
  <c r="K16"/>
  <c r="K15"/>
  <c r="K14"/>
  <c r="J14"/>
  <c r="J23" s="1"/>
  <c r="J24" s="1"/>
  <c r="K13"/>
  <c r="K10"/>
  <c r="K9"/>
  <c r="K8"/>
  <c r="K23" s="1"/>
  <c r="G48" s="1"/>
  <c r="K24" l="1"/>
  <c r="G52" s="1"/>
  <c r="G49" l="1"/>
</calcChain>
</file>

<file path=xl/sharedStrings.xml><?xml version="1.0" encoding="utf-8"?>
<sst xmlns="http://schemas.openxmlformats.org/spreadsheetml/2006/main" count="1823" uniqueCount="474">
  <si>
    <t>Table:</t>
  </si>
  <si>
    <t xml:space="preserve">DISTRICT: </t>
  </si>
  <si>
    <t>Matale</t>
  </si>
  <si>
    <t>2019 yala season</t>
  </si>
  <si>
    <t>Operation</t>
  </si>
  <si>
    <t xml:space="preserve">  No</t>
  </si>
  <si>
    <t>Total</t>
  </si>
  <si>
    <t>Fam</t>
  </si>
  <si>
    <t>Wage</t>
  </si>
  <si>
    <t xml:space="preserve">  Labour</t>
  </si>
  <si>
    <t xml:space="preserve">  Machinary</t>
  </si>
  <si>
    <t xml:space="preserve">  Material</t>
  </si>
  <si>
    <t xml:space="preserve">  Total </t>
  </si>
  <si>
    <t>Own inputs</t>
  </si>
  <si>
    <t>Report</t>
  </si>
  <si>
    <t>Lab</t>
  </si>
  <si>
    <t>Rate</t>
  </si>
  <si>
    <t xml:space="preserve">  Cost</t>
  </si>
  <si>
    <t xml:space="preserve">  &amp; Equpim't</t>
  </si>
  <si>
    <t>Machinary</t>
  </si>
  <si>
    <t>Material</t>
  </si>
  <si>
    <t xml:space="preserve">  %</t>
  </si>
  <si>
    <t xml:space="preserve">  Rs/ac</t>
  </si>
  <si>
    <t>All nursery preparation</t>
  </si>
  <si>
    <t>General Land Preparation</t>
  </si>
  <si>
    <t>1st &amp;2nd  plough with 4WT</t>
  </si>
  <si>
    <t>(  do - with 2wt)</t>
  </si>
  <si>
    <t>(17)</t>
  </si>
  <si>
    <t>(1.54)</t>
  </si>
  <si>
    <t>(6000.00)</t>
  </si>
  <si>
    <t>'(1st plough with 4wt)</t>
  </si>
  <si>
    <t>(13)</t>
  </si>
  <si>
    <t>(0.54)</t>
  </si>
  <si>
    <t>(8000.00)</t>
  </si>
  <si>
    <t>Preparation beds &amp; ridgers</t>
  </si>
  <si>
    <t>Transplanting</t>
  </si>
  <si>
    <t>Fertilizer Application</t>
  </si>
  <si>
    <t>Weeding &amp; earthing up</t>
  </si>
  <si>
    <t>Weed Control With Weedicides</t>
  </si>
  <si>
    <t>Pest &amp; Disease Control</t>
  </si>
  <si>
    <t>Water Management</t>
  </si>
  <si>
    <t>Processing manually</t>
  </si>
  <si>
    <t>Transport produce to stores</t>
  </si>
  <si>
    <t>Total Including Imputed Cost</t>
  </si>
  <si>
    <t xml:space="preserve">Total Excluding Imputed Cost </t>
  </si>
  <si>
    <t>RELATED INFORMATION</t>
  </si>
  <si>
    <t>Quantity and Price of Inputs</t>
  </si>
  <si>
    <t>Input</t>
  </si>
  <si>
    <t>Unit</t>
  </si>
  <si>
    <t>Quantity</t>
  </si>
  <si>
    <t>Unit Price (Rs)</t>
  </si>
  <si>
    <t>Variety</t>
  </si>
  <si>
    <t>%</t>
  </si>
  <si>
    <t>SEED</t>
  </si>
  <si>
    <t>Local</t>
  </si>
  <si>
    <t>Seed</t>
  </si>
  <si>
    <t>Kg.</t>
  </si>
  <si>
    <t>LABOUR</t>
  </si>
  <si>
    <t>Hired Labour</t>
  </si>
  <si>
    <t>md</t>
  </si>
  <si>
    <t>Mean</t>
  </si>
  <si>
    <t>Family Labour</t>
  </si>
  <si>
    <t>Mode</t>
  </si>
  <si>
    <t>FIELD FERTILIZER</t>
  </si>
  <si>
    <t>% Reporting</t>
  </si>
  <si>
    <t>TSP</t>
  </si>
  <si>
    <t>kg</t>
  </si>
  <si>
    <t>Urea</t>
  </si>
  <si>
    <t>Onion mixture</t>
  </si>
  <si>
    <t>kg.</t>
  </si>
  <si>
    <t>YIELD AND RETURNS</t>
  </si>
  <si>
    <t>Per hec.</t>
  </si>
  <si>
    <t>Average Yield (kg/ac)</t>
  </si>
  <si>
    <t>*</t>
  </si>
  <si>
    <t>Price of Produce (Rs/kg)</t>
  </si>
  <si>
    <t>Gross Income (Rs/ac)</t>
  </si>
  <si>
    <t>Profit Incl. Imputed Cost (Rs/ac)</t>
  </si>
  <si>
    <t>Profit Excl. Imputed Cost (Rs/ac)</t>
  </si>
  <si>
    <t>Per Unit Cost (Incl.Imputed Cost) (Rs/kg)</t>
  </si>
  <si>
    <t>Per Unit Cost (Excl. Imputed Cost (Rs/kg)</t>
  </si>
  <si>
    <t>* Heavy rains prevailed during the harvesting period</t>
  </si>
  <si>
    <t>2019 Yala</t>
  </si>
  <si>
    <t>OWN INPUTS</t>
  </si>
  <si>
    <t>(40)</t>
  </si>
  <si>
    <t>(1500.00)</t>
  </si>
  <si>
    <t>Digging holes &amp; seeding</t>
  </si>
  <si>
    <t>Fertilizer application</t>
  </si>
  <si>
    <t>Trelising &amp; training</t>
  </si>
  <si>
    <t>Harvesting  &amp; drawing</t>
  </si>
  <si>
    <t>Unit price (Rs.)</t>
  </si>
  <si>
    <t>Hybrid</t>
  </si>
  <si>
    <t>(7119.00)</t>
  </si>
  <si>
    <t>Vegetable mixture</t>
  </si>
  <si>
    <t>Yaramila</t>
  </si>
  <si>
    <t>General land preparation</t>
  </si>
  <si>
    <t>Digging holes &amp; transplanting</t>
  </si>
  <si>
    <t xml:space="preserve">Harvesting </t>
  </si>
  <si>
    <t>(3)</t>
  </si>
  <si>
    <t>District - Nuwara Eliya</t>
  </si>
  <si>
    <t>1  Plough with 2wt</t>
  </si>
  <si>
    <t>(20)</t>
  </si>
  <si>
    <t>Prperation beds &amp; ridges</t>
  </si>
  <si>
    <t>Harvesting &amp; drawing*</t>
  </si>
  <si>
    <t>(10.00)</t>
  </si>
  <si>
    <t>(4.80)</t>
  </si>
  <si>
    <t>(1200.00)</t>
  </si>
  <si>
    <t>(12000.00)</t>
  </si>
  <si>
    <t>*  Rest done by buyer</t>
  </si>
  <si>
    <t>Plants</t>
  </si>
  <si>
    <t>plants</t>
  </si>
  <si>
    <t>(16760.00)</t>
  </si>
  <si>
    <t>(2.30)</t>
  </si>
  <si>
    <t>AS cross</t>
  </si>
  <si>
    <t>Other</t>
  </si>
  <si>
    <t>Seeding</t>
  </si>
  <si>
    <t>Harvesting done by buyer</t>
  </si>
  <si>
    <t>Takis</t>
  </si>
  <si>
    <t>Terakota</t>
  </si>
  <si>
    <t>2019 yala</t>
  </si>
  <si>
    <t>1st &amp; 2nd plough with 4wt</t>
  </si>
  <si>
    <t>( do manually)</t>
  </si>
  <si>
    <t>(6)</t>
  </si>
  <si>
    <t>(2.72)</t>
  </si>
  <si>
    <t>(1.12)</t>
  </si>
  <si>
    <t>(3264.00)</t>
  </si>
  <si>
    <t xml:space="preserve">Digging holes &amp; seeding </t>
  </si>
  <si>
    <t>( do  -with 4wt)</t>
  </si>
  <si>
    <t>(31)</t>
  </si>
  <si>
    <t>(2450.00)</t>
  </si>
  <si>
    <t>(3072.00)</t>
  </si>
  <si>
    <t>( do  - with buffaloes)</t>
  </si>
  <si>
    <t>(28)</t>
  </si>
  <si>
    <t>(3164.00)</t>
  </si>
  <si>
    <t>(1667.000)</t>
  </si>
  <si>
    <t>Pest &amp; disease control</t>
  </si>
  <si>
    <t>Harvesting</t>
  </si>
  <si>
    <t>Threshing &amp; processing</t>
  </si>
  <si>
    <t>Red cowpea</t>
  </si>
  <si>
    <t>Waruni</t>
  </si>
  <si>
    <t>Anuradhapura</t>
  </si>
  <si>
    <t>(46)</t>
  </si>
  <si>
    <t>(5925.00)</t>
  </si>
  <si>
    <t>Broadcasting</t>
  </si>
  <si>
    <t xml:space="preserve">Harvesting &amp; drawing </t>
  </si>
  <si>
    <t xml:space="preserve">Processing </t>
  </si>
  <si>
    <t>Drying</t>
  </si>
  <si>
    <t>Black</t>
  </si>
  <si>
    <t>White</t>
  </si>
  <si>
    <t>(0.47)</t>
  </si>
  <si>
    <t>(5529.00)</t>
  </si>
  <si>
    <t>Galkiriyagama</t>
  </si>
  <si>
    <t>Chilli mixture</t>
  </si>
  <si>
    <t>Badulla</t>
  </si>
  <si>
    <t>Pre weedicide application</t>
  </si>
  <si>
    <t>(27)</t>
  </si>
  <si>
    <t>(3.50)</t>
  </si>
  <si>
    <t>(1.80)</t>
  </si>
  <si>
    <t>(1335.00)</t>
  </si>
  <si>
    <t>(  do - manually)</t>
  </si>
  <si>
    <t>(11.30)</t>
  </si>
  <si>
    <t>(1400.00)</t>
  </si>
  <si>
    <t xml:space="preserve">    engin powerd  thresher</t>
  </si>
  <si>
    <t>(4.00)</t>
  </si>
  <si>
    <t>(4.0)</t>
  </si>
  <si>
    <t>(1275)</t>
  </si>
  <si>
    <t>Jet</t>
  </si>
  <si>
    <t>(33)</t>
  </si>
  <si>
    <t>(64.00)</t>
  </si>
  <si>
    <t>(25.00)</t>
  </si>
  <si>
    <t>MOP</t>
  </si>
  <si>
    <t>Mix fertilizer</t>
  </si>
  <si>
    <t>Gampaha</t>
  </si>
  <si>
    <t>Digging holes &amp; planting</t>
  </si>
  <si>
    <t>Field protection</t>
  </si>
  <si>
    <t>(37)</t>
  </si>
  <si>
    <t>(3.90)</t>
  </si>
  <si>
    <t>(2.60)</t>
  </si>
  <si>
    <t>Harvesting &amp; drawing by buyer</t>
  </si>
  <si>
    <t>(5.10)</t>
  </si>
  <si>
    <t>(1286.00)</t>
  </si>
  <si>
    <t>Kalu peradeniya</t>
  </si>
  <si>
    <t>Kirikawadi</t>
  </si>
  <si>
    <t>(9851.00)</t>
  </si>
  <si>
    <t>Fixing support</t>
  </si>
  <si>
    <t>*  Lime</t>
  </si>
  <si>
    <t>Capri</t>
  </si>
  <si>
    <t>Poultry manure</t>
  </si>
  <si>
    <t>Cost nof cultivation of  Potato (Irrigated)</t>
  </si>
  <si>
    <t>(10)</t>
  </si>
  <si>
    <t>(11.70)</t>
  </si>
  <si>
    <t>(1.10)</t>
  </si>
  <si>
    <t>(20265.00)</t>
  </si>
  <si>
    <t>Harvesting &amp; drawing</t>
  </si>
  <si>
    <t>Granola</t>
  </si>
  <si>
    <t>(Cowdung)</t>
  </si>
  <si>
    <t>(5675.00)</t>
  </si>
  <si>
    <t>(6.60)</t>
  </si>
  <si>
    <t>Cost nof cultivation of  Red Onion (Irrigated)</t>
  </si>
  <si>
    <t>District - Puttlam</t>
  </si>
  <si>
    <t>1  Plough with 4wt</t>
  </si>
  <si>
    <t>Seed processing</t>
  </si>
  <si>
    <t>Weed control with weedicide</t>
  </si>
  <si>
    <t>Weeding &amp;loosning soil</t>
  </si>
  <si>
    <t>Harvesting  manually</t>
  </si>
  <si>
    <t>*Cajan cost</t>
  </si>
  <si>
    <t>Vedalan</t>
  </si>
  <si>
    <t>Cowdung</t>
  </si>
  <si>
    <t>CU 3</t>
  </si>
  <si>
    <t>Cost of Cultivation  Agricultural Crops Red Onion (irrigated)</t>
  </si>
  <si>
    <t>Trincomalee</t>
  </si>
  <si>
    <t>Seed processing on contract</t>
  </si>
  <si>
    <t>Weeding &amp; loosning soil</t>
  </si>
  <si>
    <t>LL</t>
  </si>
  <si>
    <t>(15820.00)</t>
  </si>
  <si>
    <t>(4673.00)</t>
  </si>
  <si>
    <t>(5100.00)</t>
  </si>
  <si>
    <t>(5850.00)</t>
  </si>
  <si>
    <t>(14532.00)</t>
  </si>
  <si>
    <t>(17.50)</t>
  </si>
  <si>
    <t>(4.50)</t>
  </si>
  <si>
    <t>(1158.00)</t>
  </si>
  <si>
    <t>* Lime</t>
  </si>
  <si>
    <t>(2.21)</t>
  </si>
  <si>
    <t>(0.96)</t>
  </si>
  <si>
    <t>(1400)</t>
  </si>
  <si>
    <t>(3094.00)</t>
  </si>
  <si>
    <t>(8.0)</t>
  </si>
  <si>
    <t>(1404.00)</t>
  </si>
  <si>
    <t>(11232.00)</t>
  </si>
  <si>
    <t>(1181.00)</t>
  </si>
  <si>
    <t>(1819.00)</t>
  </si>
  <si>
    <t>(638.00)</t>
  </si>
  <si>
    <t>* cajan cost</t>
  </si>
  <si>
    <t>(1.00)</t>
  </si>
  <si>
    <t>* Low yield due to rains &amp; diseases</t>
  </si>
  <si>
    <t>(12.10)</t>
  </si>
  <si>
    <t>(4.20)</t>
  </si>
  <si>
    <t>(1089.00)</t>
  </si>
  <si>
    <t>(13177.00)</t>
  </si>
  <si>
    <t>Low yield due to heavy rains</t>
  </si>
  <si>
    <t>potato mixture</t>
  </si>
  <si>
    <t>** No water pump they used gravity irrigation</t>
  </si>
  <si>
    <t>* Low yield due to drought</t>
  </si>
  <si>
    <t>MICH 3</t>
  </si>
  <si>
    <t>1st plough with 4wt</t>
  </si>
  <si>
    <t xml:space="preserve">Threshing &amp; processing with </t>
  </si>
  <si>
    <t>Planting material</t>
  </si>
  <si>
    <t xml:space="preserve"> '(Do Manually)</t>
  </si>
  <si>
    <t>Table 01</t>
  </si>
  <si>
    <t>Table 02</t>
  </si>
  <si>
    <t>Table 03</t>
  </si>
  <si>
    <t>Table 04 Labour Use (md/ac) &amp; Wage rates (rs/md)SFCs</t>
  </si>
  <si>
    <t>Table 05 Type Quantity(kg.ac) &amp;Cost of fertilizer (Rs/ac)SFCs</t>
  </si>
  <si>
    <t>Table 06 Yield, Producer Price &amp; revenue</t>
  </si>
  <si>
    <t>Table 07 Unit Cost (Rs/kg) &amp; breake even Yield (Kg/ac)Yield Paddy</t>
  </si>
  <si>
    <t>Including</t>
  </si>
  <si>
    <t>Excluding</t>
  </si>
  <si>
    <t>Net Return</t>
  </si>
  <si>
    <t xml:space="preserve">Return </t>
  </si>
  <si>
    <t>Unit Cost</t>
  </si>
  <si>
    <t>Breake</t>
  </si>
  <si>
    <t>No</t>
  </si>
  <si>
    <t>Crop</t>
  </si>
  <si>
    <t>District</t>
  </si>
  <si>
    <t>Irrigation</t>
  </si>
  <si>
    <t>Total Cost of</t>
  </si>
  <si>
    <t>Labour</t>
  </si>
  <si>
    <t xml:space="preserve">Power </t>
  </si>
  <si>
    <t>total %</t>
  </si>
  <si>
    <t>Total %</t>
  </si>
  <si>
    <t>Hired</t>
  </si>
  <si>
    <t>Family</t>
  </si>
  <si>
    <t>Wage rate</t>
  </si>
  <si>
    <t>Organic</t>
  </si>
  <si>
    <t xml:space="preserve">Total </t>
  </si>
  <si>
    <t>Cost as a</t>
  </si>
  <si>
    <t>Yield</t>
  </si>
  <si>
    <t>Farm gate</t>
  </si>
  <si>
    <t xml:space="preserve">Gross </t>
  </si>
  <si>
    <t>to</t>
  </si>
  <si>
    <t>Rs/Kg</t>
  </si>
  <si>
    <t>Even Yield</t>
  </si>
  <si>
    <t>Cultivation</t>
  </si>
  <si>
    <t>Cost</t>
  </si>
  <si>
    <t>cost</t>
  </si>
  <si>
    <t>Rs./Md</t>
  </si>
  <si>
    <t>Manure(kg/ac)</t>
  </si>
  <si>
    <t>Inorganic</t>
  </si>
  <si>
    <t>Cost Rs/ac</t>
  </si>
  <si>
    <t>% of Mat Inputs</t>
  </si>
  <si>
    <t>Price rs/kg</t>
  </si>
  <si>
    <t>Rs/ac</t>
  </si>
  <si>
    <t>Capital</t>
  </si>
  <si>
    <t>Maize</t>
  </si>
  <si>
    <t>IR</t>
  </si>
  <si>
    <t>Cowpea</t>
  </si>
  <si>
    <t>Ampara</t>
  </si>
  <si>
    <t>RF</t>
  </si>
  <si>
    <t>Big Onion</t>
  </si>
  <si>
    <t>Green Chilli</t>
  </si>
  <si>
    <t xml:space="preserve">Red Onion </t>
  </si>
  <si>
    <t>Puttlam</t>
  </si>
  <si>
    <t>1.9 LL</t>
  </si>
  <si>
    <t>Gingelly</t>
  </si>
  <si>
    <t>Soya bean</t>
  </si>
  <si>
    <t>System H</t>
  </si>
  <si>
    <t>Manioc</t>
  </si>
  <si>
    <t>Potato</t>
  </si>
  <si>
    <t>Nuwera Eliya</t>
  </si>
  <si>
    <t>Sweet Potato</t>
  </si>
  <si>
    <t>Bitter gourd</t>
  </si>
  <si>
    <t>Hambantota</t>
  </si>
  <si>
    <t>Brinjal</t>
  </si>
  <si>
    <t>Cabbage</t>
  </si>
  <si>
    <t>Carrot</t>
  </si>
  <si>
    <t>Pole Bean</t>
  </si>
  <si>
    <t>Tomato</t>
  </si>
  <si>
    <t>Kandy</t>
  </si>
  <si>
    <t>Cost of cultivation  per acre of Big onion (irrigated) - Matale district</t>
  </si>
  <si>
    <t>Own input</t>
  </si>
  <si>
    <t>report</t>
  </si>
  <si>
    <t>labour</t>
  </si>
  <si>
    <t>rate</t>
  </si>
  <si>
    <t xml:space="preserve">  cost</t>
  </si>
  <si>
    <t xml:space="preserve">  &amp; equipm't</t>
  </si>
  <si>
    <t xml:space="preserve"> cost</t>
  </si>
  <si>
    <t>machinary</t>
  </si>
  <si>
    <t>material</t>
  </si>
  <si>
    <t xml:space="preserve">  cost Rs/ac</t>
  </si>
  <si>
    <t>1st &amp;2nd  plough with 4wt</t>
  </si>
  <si>
    <t>Weed control with weedicides</t>
  </si>
  <si>
    <t>Water management</t>
  </si>
  <si>
    <t>Harvesting &amp; drawing manually</t>
  </si>
  <si>
    <t>Total including imputed cost</t>
  </si>
  <si>
    <t xml:space="preserve">Total excluding imputed cost </t>
  </si>
  <si>
    <t>Local seed</t>
  </si>
  <si>
    <t xml:space="preserve">Hired </t>
  </si>
  <si>
    <t xml:space="preserve">Family </t>
  </si>
  <si>
    <t xml:space="preserve">Percent </t>
  </si>
  <si>
    <t>reported</t>
  </si>
  <si>
    <t>Per ac</t>
  </si>
  <si>
    <t>Per ha</t>
  </si>
  <si>
    <t>Average yield (kg)</t>
  </si>
  <si>
    <t>Price of produce (Rs/kg)</t>
  </si>
  <si>
    <t>Gross income (Rs.)</t>
  </si>
  <si>
    <t>Profit incl. imputed cost (Rs.)</t>
  </si>
  <si>
    <t>Profit excl. imputed cost (Rs.)</t>
  </si>
  <si>
    <t>Unit cost (incl.imputed cost) (Rs/kg)</t>
  </si>
  <si>
    <t>Unit cost (excl. imputed cost (Rs/kg)</t>
  </si>
  <si>
    <t>Cost of cultivation per ac re of  Bitter gourd  (Irrigated) -Hambantota district</t>
  </si>
  <si>
    <t xml:space="preserve">  machinary</t>
  </si>
  <si>
    <t xml:space="preserve">  material</t>
  </si>
  <si>
    <t xml:space="preserve">  </t>
  </si>
  <si>
    <t xml:space="preserve"> cost Rs/ac</t>
  </si>
  <si>
    <t xml:space="preserve"> </t>
  </si>
  <si>
    <t>1st  plough with 4 wt</t>
  </si>
  <si>
    <t>( do - with 2wt)</t>
  </si>
  <si>
    <t>(6120.00)</t>
  </si>
  <si>
    <t>Imported seed</t>
  </si>
  <si>
    <t xml:space="preserve">Persent </t>
  </si>
  <si>
    <t>Gross income (Rs)</t>
  </si>
  <si>
    <t>Profit incl. imputed cost (Rs)</t>
  </si>
  <si>
    <t>Profit excl. imputed cost (Rs)</t>
  </si>
  <si>
    <t>Cost nof cultivation per acre of  Brinjal  (irrigated) - Hambantota district</t>
  </si>
  <si>
    <t xml:space="preserve">  Cost Rs/ac</t>
  </si>
  <si>
    <t>1st 2nd &amp; 3rd plough with 4wt</t>
  </si>
  <si>
    <t xml:space="preserve">  '(do-manually)</t>
  </si>
  <si>
    <t xml:space="preserve">percent  </t>
  </si>
  <si>
    <t>Reported</t>
  </si>
  <si>
    <t>Cost nof cultivation per acre of  Cabbage (irrigated) - Nuwara Eliya district</t>
  </si>
  <si>
    <t>1  plough with 2wt</t>
  </si>
  <si>
    <t xml:space="preserve"> '( do manually)</t>
  </si>
  <si>
    <t>(43)</t>
  </si>
  <si>
    <t>Cost of cultivation per acre of  Carrot (irrigated) - Nuwara Eliya district</t>
  </si>
  <si>
    <t>Weeding &amp; thining out</t>
  </si>
  <si>
    <t>Percent</t>
  </si>
  <si>
    <t>Cost of cultivation per acre of  Cowpea (Rainfed) - Ampara district</t>
  </si>
  <si>
    <t>Own inout</t>
  </si>
  <si>
    <t xml:space="preserve">  cost  Rs/ac</t>
  </si>
  <si>
    <t>( do - manually)</t>
  </si>
  <si>
    <t>Gross income (Rs/ac)</t>
  </si>
  <si>
    <t>Cost of cultivation  per acre of Gingelly (Rainfed)- Anuradhapura</t>
  </si>
  <si>
    <t xml:space="preserve">2019 yala </t>
  </si>
  <si>
    <t>own input</t>
  </si>
  <si>
    <t xml:space="preserve"> cost  Rs/ac</t>
  </si>
  <si>
    <t xml:space="preserve">  Cost  Rs/ac</t>
  </si>
  <si>
    <t>( 1st &amp; 2nd plough with 4wt)</t>
  </si>
  <si>
    <t>Total including Iiputed Cost</t>
  </si>
  <si>
    <t>Unit cost (incl. imputed cost) (Rs/kg)</t>
  </si>
  <si>
    <t xml:space="preserve">Cost of cultivation  per acre of  Green chilli (irrigated) -Anuradhapura </t>
  </si>
  <si>
    <t xml:space="preserve">  &amp; equpim't</t>
  </si>
  <si>
    <t>(26)</t>
  </si>
  <si>
    <t>1st &amp; 2nd  plough with 4wt</t>
  </si>
  <si>
    <t xml:space="preserve">kg </t>
  </si>
  <si>
    <r>
      <t>MICH 3</t>
    </r>
    <r>
      <rPr>
        <sz val="7"/>
        <rFont val="Times New Roman"/>
        <family val="1"/>
      </rPr>
      <t>(Hybrid 1)</t>
    </r>
  </si>
  <si>
    <t>FERTILIZER</t>
  </si>
  <si>
    <t>Cost of cultivation  per acre of Maize (irrigated)- Badulla district</t>
  </si>
  <si>
    <t xml:space="preserve">  ( do - by buyer)</t>
  </si>
  <si>
    <t xml:space="preserve">  (do -  manually)</t>
  </si>
  <si>
    <t>Per unit cost (incl.imputed cost) (Rs/kg)</t>
  </si>
  <si>
    <t>Per unit cost (excl. imputed cost (Rs/kg)</t>
  </si>
  <si>
    <t>Cost of Cultivation  per acre of Manioc (rain-fed) -Gampaha district</t>
  </si>
  <si>
    <t>1st ,2nd &amp; 3rd plough with 4wt</t>
  </si>
  <si>
    <t>(do- manually)</t>
  </si>
  <si>
    <t>sticks</t>
  </si>
  <si>
    <t xml:space="preserve"> Reported</t>
  </si>
  <si>
    <t>Coconut mixture</t>
  </si>
  <si>
    <t>Average yield (kg.)</t>
  </si>
  <si>
    <t>Profit Excl. Imputed Cost (Rs.)</t>
  </si>
  <si>
    <t>Cost of cultivation  per acre of Pole bean (irrigated) -  Badulla district</t>
  </si>
  <si>
    <t>1st plough with 2wt</t>
  </si>
  <si>
    <t>Cost of cultivation of  Potato (irrigated) - Badulla district</t>
  </si>
  <si>
    <t>(do - manually)</t>
  </si>
  <si>
    <t>(14391)</t>
  </si>
  <si>
    <t>Potato mixture</t>
  </si>
  <si>
    <t>Per unit cost (Incl.imputed cost) (Rs/kg)</t>
  </si>
  <si>
    <t>Cost of cultivation per acre of Soya bean (irrigated) - System H</t>
  </si>
  <si>
    <t>cost  Rs/ac</t>
  </si>
  <si>
    <t>General land Preparation</t>
  </si>
  <si>
    <t>1st &amp;2nd plough with 4wt</t>
  </si>
  <si>
    <t>(0.90)</t>
  </si>
  <si>
    <t>(1295.00)</t>
  </si>
  <si>
    <t>(1166.00)</t>
  </si>
  <si>
    <t>Preparation beds &amp; ridges</t>
  </si>
  <si>
    <t>Processing with 4wThresher</t>
  </si>
  <si>
    <t xml:space="preserve">Total Excluding Imputed cost </t>
  </si>
  <si>
    <t>Unit price (Rs)</t>
  </si>
  <si>
    <t>Percent reporting</t>
  </si>
  <si>
    <t>Cost nof cultivation of  Sweet Potato (Irrigated)</t>
  </si>
  <si>
    <t>DISTRICT: --Matale</t>
  </si>
  <si>
    <t>(1.20)</t>
  </si>
  <si>
    <t>(1800.00)</t>
  </si>
  <si>
    <t xml:space="preserve">  (do with 2wt)</t>
  </si>
  <si>
    <t>(7)</t>
  </si>
  <si>
    <t>(16)</t>
  </si>
  <si>
    <t>(1350.00)</t>
  </si>
  <si>
    <t>Processing materials &amp; planting</t>
  </si>
  <si>
    <t>Fertilizer applicatiion</t>
  </si>
  <si>
    <t>(Weeding &amp; earthing up)</t>
  </si>
  <si>
    <t>(7.90)</t>
  </si>
  <si>
    <t>(2.50)</t>
  </si>
  <si>
    <t>(1329.00)</t>
  </si>
  <si>
    <t>(10499.00)</t>
  </si>
  <si>
    <t>Harvesting &amp; Drawing</t>
  </si>
  <si>
    <t>Cuttings</t>
  </si>
  <si>
    <t>Wariyapola  Red</t>
  </si>
  <si>
    <t>Cost nof cultivation of  Tomato (Irrigated)</t>
  </si>
  <si>
    <t>District - Badulla</t>
  </si>
  <si>
    <t>(12.20)</t>
  </si>
  <si>
    <t>(9.00)</t>
  </si>
  <si>
    <t>(1165.00)</t>
  </si>
  <si>
    <t>(14213.00)</t>
  </si>
  <si>
    <t>Preparation of beds &amp; ridgers</t>
  </si>
  <si>
    <t xml:space="preserve">Fixing support </t>
  </si>
  <si>
    <t>Training</t>
  </si>
  <si>
    <t>(Plants)</t>
  </si>
  <si>
    <t>(6400.00)</t>
  </si>
  <si>
    <t>(2.40)</t>
  </si>
  <si>
    <t>Padma</t>
  </si>
  <si>
    <t>Thilina</t>
  </si>
  <si>
    <t>District - Kandy</t>
  </si>
  <si>
    <t>(47)</t>
  </si>
  <si>
    <t>(10.30)</t>
  </si>
  <si>
    <t>(1388.00)</t>
  </si>
  <si>
    <t>(14296.00)</t>
  </si>
  <si>
    <t>2 Plough with 2wt</t>
  </si>
  <si>
    <t>(30)</t>
  </si>
  <si>
    <t>(6.80)</t>
  </si>
  <si>
    <t>(9438.00)</t>
  </si>
  <si>
    <t>Preparation of beds &amp; ridges</t>
  </si>
  <si>
    <t>Abiman</t>
  </si>
  <si>
    <t>Nilketa</t>
  </si>
  <si>
    <t>Statistical Table -OFC-2019 yala-final document-2020.08.19</t>
  </si>
  <si>
    <t>Cost of cultivation of Agricultural crops- Other field crops</t>
  </si>
</sst>
</file>

<file path=xl/styles.xml><?xml version="1.0" encoding="utf-8"?>
<styleSheet xmlns="http://schemas.openxmlformats.org/spreadsheetml/2006/main">
  <numFmts count="7">
    <numFmt numFmtId="164" formatCode="_(* #,##0.00_);_(* \(#,##0.00\);_(* &quot;-&quot;??_);_(@_)"/>
    <numFmt numFmtId="165" formatCode="0_)"/>
    <numFmt numFmtId="166" formatCode="0.0"/>
    <numFmt numFmtId="167" formatCode="0.00_)"/>
    <numFmt numFmtId="168" formatCode="0.000"/>
    <numFmt numFmtId="169" formatCode="_(* #,##0_);_(* \(#,##0\);_(* &quot;-&quot;??_);_(@_)"/>
    <numFmt numFmtId="170" formatCode="0.0_)"/>
  </numFmts>
  <fonts count="21">
    <font>
      <sz val="11"/>
      <color theme="1"/>
      <name val="Calibri"/>
      <family val="2"/>
      <scheme val="minor"/>
    </font>
    <font>
      <sz val="9"/>
      <name val="Times New Roman"/>
      <family val="1"/>
    </font>
    <font>
      <b/>
      <sz val="9"/>
      <name val="Times New Roman"/>
      <family val="1"/>
    </font>
    <font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Times New Roman"/>
      <family val="1"/>
    </font>
    <font>
      <b/>
      <sz val="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8"/>
      <color theme="1"/>
      <name val="Times New Roman"/>
      <family val="1"/>
    </font>
    <font>
      <sz val="7"/>
      <name val="Times New Roman"/>
      <family val="1"/>
    </font>
    <font>
      <sz val="10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i/>
      <sz val="11"/>
      <name val="Times New Roman"/>
      <family val="1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33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165" fontId="1" fillId="0" borderId="0" xfId="0" applyNumberFormat="1" applyFont="1" applyProtection="1"/>
    <xf numFmtId="166" fontId="1" fillId="0" borderId="0" xfId="0" applyNumberFormat="1" applyFont="1"/>
    <xf numFmtId="2" fontId="1" fillId="0" borderId="0" xfId="0" applyNumberFormat="1" applyFont="1" applyProtection="1"/>
    <xf numFmtId="2" fontId="1" fillId="0" borderId="0" xfId="0" applyNumberFormat="1" applyFont="1"/>
    <xf numFmtId="165" fontId="1" fillId="0" borderId="0" xfId="0" quotePrefix="1" applyNumberFormat="1" applyFont="1" applyProtection="1"/>
    <xf numFmtId="166" fontId="1" fillId="0" borderId="0" xfId="0" quotePrefix="1" applyNumberFormat="1" applyFont="1"/>
    <xf numFmtId="2" fontId="1" fillId="0" borderId="0" xfId="0" quotePrefix="1" applyNumberFormat="1" applyFont="1" applyProtection="1"/>
    <xf numFmtId="1" fontId="1" fillId="0" borderId="0" xfId="0" applyNumberFormat="1" applyFont="1"/>
    <xf numFmtId="0" fontId="1" fillId="0" borderId="0" xfId="0" quotePrefix="1" applyFont="1"/>
    <xf numFmtId="2" fontId="1" fillId="0" borderId="0" xfId="0" quotePrefix="1" applyNumberFormat="1" applyFont="1"/>
    <xf numFmtId="0" fontId="1" fillId="0" borderId="0" xfId="0" quotePrefix="1" applyFont="1" applyAlignment="1">
      <alignment horizontal="center"/>
    </xf>
    <xf numFmtId="0" fontId="1" fillId="0" borderId="1" xfId="0" applyFont="1" applyBorder="1"/>
    <xf numFmtId="165" fontId="1" fillId="0" borderId="1" xfId="0" applyNumberFormat="1" applyFont="1" applyBorder="1" applyProtection="1"/>
    <xf numFmtId="2" fontId="1" fillId="0" borderId="1" xfId="0" applyNumberFormat="1" applyFont="1" applyBorder="1"/>
    <xf numFmtId="0" fontId="1" fillId="0" borderId="2" xfId="0" applyFont="1" applyBorder="1"/>
    <xf numFmtId="165" fontId="1" fillId="0" borderId="2" xfId="0" applyNumberFormat="1" applyFont="1" applyBorder="1" applyProtection="1"/>
    <xf numFmtId="2" fontId="1" fillId="0" borderId="2" xfId="0" applyNumberFormat="1" applyFont="1" applyBorder="1"/>
    <xf numFmtId="0" fontId="2" fillId="0" borderId="0" xfId="0" applyFont="1"/>
    <xf numFmtId="0" fontId="1" fillId="0" borderId="3" xfId="0" applyFont="1" applyBorder="1"/>
    <xf numFmtId="0" fontId="2" fillId="0" borderId="4" xfId="0" applyFont="1" applyBorder="1"/>
    <xf numFmtId="0" fontId="2" fillId="0" borderId="5" xfId="0" applyFont="1" applyBorder="1" applyAlignment="1">
      <alignment horizontal="right"/>
    </xf>
    <xf numFmtId="0" fontId="1" fillId="0" borderId="6" xfId="0" applyFont="1" applyBorder="1"/>
    <xf numFmtId="0" fontId="1" fillId="0" borderId="0" xfId="0" applyFont="1" applyAlignment="1">
      <alignment horizontal="right"/>
    </xf>
    <xf numFmtId="0" fontId="1" fillId="0" borderId="0" xfId="0" applyFont="1" applyBorder="1"/>
    <xf numFmtId="1" fontId="1" fillId="0" borderId="0" xfId="0" applyNumberFormat="1" applyFont="1" applyBorder="1"/>
    <xf numFmtId="0" fontId="1" fillId="0" borderId="0" xfId="0" applyFont="1" applyAlignment="1">
      <alignment horizontal="center"/>
    </xf>
    <xf numFmtId="0" fontId="1" fillId="0" borderId="0" xfId="0" quotePrefix="1" applyFont="1" applyBorder="1"/>
    <xf numFmtId="0" fontId="1" fillId="0" borderId="0" xfId="0" quotePrefix="1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2" fontId="1" fillId="0" borderId="0" xfId="0" quotePrefix="1" applyNumberFormat="1" applyFont="1" applyBorder="1"/>
    <xf numFmtId="2" fontId="1" fillId="0" borderId="0" xfId="0" applyNumberFormat="1" applyFont="1" applyBorder="1"/>
    <xf numFmtId="167" fontId="1" fillId="0" borderId="0" xfId="0" applyNumberFormat="1" applyFont="1" applyBorder="1" applyAlignment="1">
      <alignment horizontal="right"/>
    </xf>
    <xf numFmtId="167" fontId="1" fillId="0" borderId="0" xfId="0" applyNumberFormat="1" applyFont="1"/>
    <xf numFmtId="0" fontId="3" fillId="0" borderId="0" xfId="0" applyFont="1" applyFill="1" applyAlignment="1">
      <alignment horizontal="left" vertical="top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2" fontId="1" fillId="0" borderId="0" xfId="0" applyNumberFormat="1" applyFont="1" applyFill="1" applyProtection="1"/>
    <xf numFmtId="2" fontId="1" fillId="0" borderId="0" xfId="0" applyNumberFormat="1" applyFont="1" applyBorder="1" applyAlignment="1">
      <alignment horizontal="right"/>
    </xf>
    <xf numFmtId="2" fontId="1" fillId="0" borderId="0" xfId="0" applyNumberFormat="1" applyFont="1" applyFill="1"/>
    <xf numFmtId="2" fontId="1" fillId="0" borderId="0" xfId="0" quotePrefix="1" applyNumberFormat="1" applyFont="1" applyFill="1" applyProtection="1"/>
    <xf numFmtId="2" fontId="1" fillId="0" borderId="0" xfId="0" quotePrefix="1" applyNumberFormat="1" applyFont="1" applyBorder="1" applyAlignment="1">
      <alignment horizontal="right"/>
    </xf>
    <xf numFmtId="9" fontId="1" fillId="0" borderId="0" xfId="0" applyNumberFormat="1" applyFont="1"/>
    <xf numFmtId="0" fontId="1" fillId="0" borderId="4" xfId="0" applyFont="1" applyBorder="1"/>
    <xf numFmtId="0" fontId="1" fillId="0" borderId="5" xfId="0" applyFont="1" applyBorder="1"/>
    <xf numFmtId="0" fontId="1" fillId="0" borderId="0" xfId="0" quotePrefix="1" applyFont="1" applyAlignment="1">
      <alignment horizontal="right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Fill="1" applyBorder="1"/>
    <xf numFmtId="167" fontId="1" fillId="0" borderId="0" xfId="0" applyNumberFormat="1" applyFont="1" applyBorder="1" applyProtection="1"/>
    <xf numFmtId="167" fontId="1" fillId="0" borderId="0" xfId="0" applyNumberFormat="1" applyFont="1" applyBorder="1"/>
    <xf numFmtId="167" fontId="1" fillId="0" borderId="2" xfId="0" applyNumberFormat="1" applyFont="1" applyBorder="1"/>
    <xf numFmtId="165" fontId="1" fillId="0" borderId="0" xfId="0" quotePrefix="1" applyNumberFormat="1" applyFont="1" applyAlignment="1" applyProtection="1">
      <alignment horizontal="right"/>
    </xf>
    <xf numFmtId="0" fontId="1" fillId="0" borderId="12" xfId="0" applyFont="1" applyBorder="1"/>
    <xf numFmtId="0" fontId="1" fillId="0" borderId="7" xfId="0" applyFont="1" applyBorder="1"/>
    <xf numFmtId="0" fontId="1" fillId="0" borderId="13" xfId="0" applyFont="1" applyBorder="1"/>
    <xf numFmtId="0" fontId="1" fillId="0" borderId="14" xfId="0" applyFont="1" applyBorder="1"/>
    <xf numFmtId="168" fontId="1" fillId="0" borderId="0" xfId="0" applyNumberFormat="1" applyFont="1"/>
    <xf numFmtId="165" fontId="1" fillId="0" borderId="0" xfId="0" applyNumberFormat="1" applyFont="1" applyAlignment="1" applyProtection="1">
      <alignment horizontal="center"/>
    </xf>
    <xf numFmtId="165" fontId="1" fillId="0" borderId="0" xfId="0" quotePrefix="1" applyNumberFormat="1" applyFont="1" applyAlignment="1" applyProtection="1">
      <alignment horizontal="center"/>
    </xf>
    <xf numFmtId="166" fontId="1" fillId="0" borderId="0" xfId="0" quotePrefix="1" applyNumberFormat="1" applyFont="1" applyAlignment="1">
      <alignment horizontal="right"/>
    </xf>
    <xf numFmtId="2" fontId="1" fillId="0" borderId="0" xfId="0" quotePrefix="1" applyNumberFormat="1" applyFont="1" applyAlignment="1" applyProtection="1">
      <alignment horizontal="right"/>
    </xf>
    <xf numFmtId="2" fontId="1" fillId="0" borderId="0" xfId="0" quotePrefix="1" applyNumberFormat="1" applyFont="1" applyAlignment="1">
      <alignment horizontal="right"/>
    </xf>
    <xf numFmtId="166" fontId="1" fillId="0" borderId="1" xfId="0" applyNumberFormat="1" applyFont="1" applyBorder="1"/>
    <xf numFmtId="9" fontId="1" fillId="0" borderId="11" xfId="0" applyNumberFormat="1" applyFont="1" applyBorder="1"/>
    <xf numFmtId="2" fontId="1" fillId="0" borderId="10" xfId="0" applyNumberFormat="1" applyFont="1" applyBorder="1"/>
    <xf numFmtId="2" fontId="1" fillId="0" borderId="11" xfId="0" applyNumberFormat="1" applyFont="1" applyBorder="1"/>
    <xf numFmtId="1" fontId="1" fillId="0" borderId="5" xfId="0" applyNumberFormat="1" applyFont="1" applyBorder="1"/>
    <xf numFmtId="1" fontId="1" fillId="0" borderId="9" xfId="0" applyNumberFormat="1" applyFont="1" applyBorder="1"/>
    <xf numFmtId="0" fontId="5" fillId="0" borderId="0" xfId="0" applyFont="1"/>
    <xf numFmtId="0" fontId="6" fillId="0" borderId="0" xfId="0" applyFont="1"/>
    <xf numFmtId="0" fontId="6" fillId="0" borderId="1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165" fontId="6" fillId="0" borderId="0" xfId="0" applyNumberFormat="1" applyFont="1" applyProtection="1"/>
    <xf numFmtId="166" fontId="6" fillId="0" borderId="0" xfId="0" applyNumberFormat="1" applyFont="1"/>
    <xf numFmtId="2" fontId="6" fillId="0" borderId="0" xfId="0" applyNumberFormat="1" applyFont="1" applyProtection="1"/>
    <xf numFmtId="2" fontId="6" fillId="0" borderId="0" xfId="0" applyNumberFormat="1" applyFont="1"/>
    <xf numFmtId="165" fontId="6" fillId="0" borderId="0" xfId="0" quotePrefix="1" applyNumberFormat="1" applyFont="1" applyProtection="1"/>
    <xf numFmtId="2" fontId="6" fillId="0" borderId="0" xfId="0" quotePrefix="1" applyNumberFormat="1" applyFont="1" applyProtection="1"/>
    <xf numFmtId="0" fontId="6" fillId="0" borderId="0" xfId="0" quotePrefix="1" applyFont="1"/>
    <xf numFmtId="1" fontId="6" fillId="0" borderId="0" xfId="0" applyNumberFormat="1" applyFont="1"/>
    <xf numFmtId="0" fontId="7" fillId="0" borderId="0" xfId="0" applyFont="1"/>
    <xf numFmtId="0" fontId="6" fillId="0" borderId="0" xfId="0" applyFont="1" applyAlignment="1">
      <alignment horizontal="center"/>
    </xf>
    <xf numFmtId="2" fontId="6" fillId="0" borderId="0" xfId="0" quotePrefix="1" applyNumberFormat="1" applyFont="1"/>
    <xf numFmtId="0" fontId="6" fillId="0" borderId="1" xfId="0" applyFont="1" applyBorder="1"/>
    <xf numFmtId="165" fontId="6" fillId="0" borderId="1" xfId="0" applyNumberFormat="1" applyFont="1" applyBorder="1" applyProtection="1"/>
    <xf numFmtId="2" fontId="6" fillId="0" borderId="1" xfId="0" applyNumberFormat="1" applyFont="1" applyBorder="1"/>
    <xf numFmtId="0" fontId="6" fillId="0" borderId="2" xfId="0" applyFont="1" applyBorder="1"/>
    <xf numFmtId="165" fontId="6" fillId="0" borderId="2" xfId="0" applyNumberFormat="1" applyFont="1" applyBorder="1" applyProtection="1"/>
    <xf numFmtId="2" fontId="6" fillId="0" borderId="2" xfId="0" applyNumberFormat="1" applyFont="1" applyBorder="1"/>
    <xf numFmtId="0" fontId="6" fillId="0" borderId="4" xfId="0" applyFont="1" applyBorder="1"/>
    <xf numFmtId="1" fontId="6" fillId="0" borderId="5" xfId="0" applyNumberFormat="1" applyFont="1" applyBorder="1"/>
    <xf numFmtId="0" fontId="6" fillId="0" borderId="8" xfId="0" applyFont="1" applyBorder="1"/>
    <xf numFmtId="1" fontId="6" fillId="0" borderId="9" xfId="0" applyNumberFormat="1" applyFont="1" applyBorder="1"/>
    <xf numFmtId="0" fontId="6" fillId="0" borderId="0" xfId="0" applyFont="1" applyBorder="1"/>
    <xf numFmtId="1" fontId="6" fillId="0" borderId="0" xfId="0" applyNumberFormat="1" applyFont="1" applyBorder="1"/>
    <xf numFmtId="0" fontId="6" fillId="0" borderId="0" xfId="0" quotePrefix="1" applyFont="1" applyBorder="1"/>
    <xf numFmtId="0" fontId="6" fillId="0" borderId="0" xfId="0" quotePrefix="1" applyFont="1" applyBorder="1" applyAlignment="1">
      <alignment horizontal="center"/>
    </xf>
    <xf numFmtId="0" fontId="6" fillId="0" borderId="0" xfId="0" applyFont="1" applyBorder="1" applyAlignment="1">
      <alignment horizontal="right"/>
    </xf>
    <xf numFmtId="2" fontId="6" fillId="0" borderId="0" xfId="0" quotePrefix="1" applyNumberFormat="1" applyFont="1" applyBorder="1"/>
    <xf numFmtId="2" fontId="6" fillId="0" borderId="0" xfId="0" applyNumberFormat="1" applyFont="1" applyBorder="1"/>
    <xf numFmtId="167" fontId="6" fillId="0" borderId="0" xfId="0" applyNumberFormat="1" applyFont="1" applyBorder="1" applyProtection="1"/>
    <xf numFmtId="167" fontId="6" fillId="0" borderId="0" xfId="0" applyNumberFormat="1" applyFont="1" applyBorder="1"/>
    <xf numFmtId="167" fontId="6" fillId="0" borderId="0" xfId="0" applyNumberFormat="1" applyFont="1"/>
    <xf numFmtId="167" fontId="6" fillId="0" borderId="2" xfId="0" applyNumberFormat="1" applyFont="1" applyBorder="1"/>
    <xf numFmtId="2" fontId="7" fillId="0" borderId="0" xfId="0" applyNumberFormat="1" applyFont="1"/>
    <xf numFmtId="169" fontId="6" fillId="0" borderId="0" xfId="1" applyNumberFormat="1" applyFont="1"/>
    <xf numFmtId="0" fontId="7" fillId="0" borderId="4" xfId="0" applyFont="1" applyBorder="1"/>
    <xf numFmtId="0" fontId="7" fillId="0" borderId="5" xfId="0" applyFont="1" applyBorder="1" applyAlignment="1">
      <alignment horizontal="right"/>
    </xf>
    <xf numFmtId="0" fontId="6" fillId="0" borderId="0" xfId="0" applyFont="1" applyAlignment="1">
      <alignment horizontal="left"/>
    </xf>
    <xf numFmtId="2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2" fontId="2" fillId="0" borderId="0" xfId="0" applyNumberFormat="1" applyFont="1"/>
    <xf numFmtId="166" fontId="1" fillId="0" borderId="9" xfId="0" applyNumberFormat="1" applyFont="1" applyBorder="1"/>
    <xf numFmtId="0" fontId="8" fillId="0" borderId="0" xfId="0" applyFont="1"/>
    <xf numFmtId="0" fontId="8" fillId="0" borderId="1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165" fontId="8" fillId="0" borderId="0" xfId="0" applyNumberFormat="1" applyFont="1" applyProtection="1"/>
    <xf numFmtId="166" fontId="8" fillId="0" borderId="0" xfId="0" applyNumberFormat="1" applyFont="1"/>
    <xf numFmtId="2" fontId="8" fillId="0" borderId="0" xfId="0" applyNumberFormat="1" applyFont="1" applyProtection="1"/>
    <xf numFmtId="2" fontId="8" fillId="0" borderId="0" xfId="0" applyNumberFormat="1" applyFont="1"/>
    <xf numFmtId="165" fontId="8" fillId="0" borderId="0" xfId="0" quotePrefix="1" applyNumberFormat="1" applyFont="1" applyProtection="1"/>
    <xf numFmtId="2" fontId="8" fillId="0" borderId="0" xfId="0" quotePrefix="1" applyNumberFormat="1" applyFont="1" applyProtection="1"/>
    <xf numFmtId="2" fontId="8" fillId="0" borderId="0" xfId="0" quotePrefix="1" applyNumberFormat="1" applyFont="1"/>
    <xf numFmtId="0" fontId="8" fillId="0" borderId="0" xfId="0" quotePrefix="1" applyFont="1"/>
    <xf numFmtId="1" fontId="8" fillId="0" borderId="0" xfId="0" applyNumberFormat="1" applyFont="1"/>
    <xf numFmtId="0" fontId="9" fillId="0" borderId="0" xfId="0" applyFont="1"/>
    <xf numFmtId="0" fontId="8" fillId="0" borderId="0" xfId="0" applyFont="1" applyAlignment="1">
      <alignment horizontal="center"/>
    </xf>
    <xf numFmtId="0" fontId="8" fillId="0" borderId="1" xfId="0" applyFont="1" applyBorder="1"/>
    <xf numFmtId="165" fontId="8" fillId="0" borderId="1" xfId="0" applyNumberFormat="1" applyFont="1" applyBorder="1" applyProtection="1"/>
    <xf numFmtId="2" fontId="8" fillId="0" borderId="1" xfId="0" applyNumberFormat="1" applyFont="1" applyBorder="1"/>
    <xf numFmtId="0" fontId="8" fillId="0" borderId="2" xfId="0" applyFont="1" applyBorder="1"/>
    <xf numFmtId="165" fontId="8" fillId="0" borderId="2" xfId="0" applyNumberFormat="1" applyFont="1" applyBorder="1" applyProtection="1"/>
    <xf numFmtId="2" fontId="8" fillId="0" borderId="2" xfId="0" applyNumberFormat="1" applyFont="1" applyBorder="1"/>
    <xf numFmtId="0" fontId="8" fillId="0" borderId="3" xfId="0" applyFont="1" applyBorder="1"/>
    <xf numFmtId="0" fontId="8" fillId="0" borderId="0" xfId="0" applyFont="1" applyAlignment="1">
      <alignment horizontal="right"/>
    </xf>
    <xf numFmtId="0" fontId="8" fillId="0" borderId="0" xfId="0" applyFont="1" applyBorder="1"/>
    <xf numFmtId="1" fontId="8" fillId="0" borderId="0" xfId="0" applyNumberFormat="1" applyFont="1" applyBorder="1"/>
    <xf numFmtId="0" fontId="8" fillId="0" borderId="0" xfId="0" quotePrefix="1" applyFont="1" applyBorder="1" applyAlignment="1">
      <alignment horizontal="center"/>
    </xf>
    <xf numFmtId="0" fontId="8" fillId="0" borderId="0" xfId="0" applyFont="1" applyBorder="1" applyAlignment="1">
      <alignment horizontal="right"/>
    </xf>
    <xf numFmtId="0" fontId="8" fillId="0" borderId="0" xfId="0" quotePrefix="1" applyFont="1" applyBorder="1"/>
    <xf numFmtId="2" fontId="8" fillId="0" borderId="0" xfId="0" quotePrefix="1" applyNumberFormat="1" applyFont="1" applyBorder="1"/>
    <xf numFmtId="2" fontId="8" fillId="0" borderId="0" xfId="0" applyNumberFormat="1" applyFont="1" applyBorder="1"/>
    <xf numFmtId="167" fontId="8" fillId="0" borderId="0" xfId="0" applyNumberFormat="1" applyFont="1" applyBorder="1" applyProtection="1"/>
    <xf numFmtId="167" fontId="8" fillId="0" borderId="0" xfId="0" applyNumberFormat="1" applyFont="1" applyBorder="1"/>
    <xf numFmtId="167" fontId="8" fillId="0" borderId="0" xfId="0" applyNumberFormat="1" applyFont="1"/>
    <xf numFmtId="167" fontId="8" fillId="0" borderId="2" xfId="0" applyNumberFormat="1" applyFont="1" applyBorder="1"/>
    <xf numFmtId="0" fontId="8" fillId="0" borderId="0" xfId="0" quotePrefix="1" applyFont="1" applyAlignment="1">
      <alignment horizontal="center"/>
    </xf>
    <xf numFmtId="0" fontId="9" fillId="0" borderId="4" xfId="0" applyFont="1" applyBorder="1"/>
    <xf numFmtId="0" fontId="9" fillId="0" borderId="5" xfId="0" applyFont="1" applyBorder="1" applyAlignment="1">
      <alignment horizontal="right"/>
    </xf>
    <xf numFmtId="2" fontId="8" fillId="0" borderId="0" xfId="0" applyNumberFormat="1" applyFont="1" applyFill="1"/>
    <xf numFmtId="2" fontId="8" fillId="0" borderId="0" xfId="0" applyNumberFormat="1" applyFont="1" applyFill="1" applyProtection="1"/>
    <xf numFmtId="2" fontId="8" fillId="0" borderId="0" xfId="0" quotePrefix="1" applyNumberFormat="1" applyFont="1" applyFill="1"/>
    <xf numFmtId="0" fontId="8" fillId="0" borderId="6" xfId="0" applyFont="1" applyBorder="1"/>
    <xf numFmtId="1" fontId="8" fillId="0" borderId="7" xfId="0" applyNumberFormat="1" applyFont="1" applyBorder="1"/>
    <xf numFmtId="166" fontId="8" fillId="0" borderId="0" xfId="0" quotePrefix="1" applyNumberFormat="1" applyFont="1" applyBorder="1"/>
    <xf numFmtId="1" fontId="8" fillId="0" borderId="0" xfId="0" quotePrefix="1" applyNumberFormat="1" applyFont="1" applyBorder="1"/>
    <xf numFmtId="0" fontId="8" fillId="0" borderId="0" xfId="0" applyFont="1" applyAlignment="1">
      <alignment horizontal="left"/>
    </xf>
    <xf numFmtId="0" fontId="10" fillId="0" borderId="0" xfId="0" applyFont="1" applyFill="1" applyAlignment="1">
      <alignment horizontal="left" vertical="top"/>
    </xf>
    <xf numFmtId="0" fontId="1" fillId="0" borderId="0" xfId="0" quotePrefix="1" applyFont="1" applyBorder="1" applyAlignment="1">
      <alignment horizontal="right"/>
    </xf>
    <xf numFmtId="0" fontId="2" fillId="0" borderId="0" xfId="0" applyFont="1" applyBorder="1"/>
    <xf numFmtId="0" fontId="3" fillId="0" borderId="0" xfId="0" applyFont="1" applyFill="1" applyBorder="1" applyAlignment="1">
      <alignment horizontal="left" vertical="top"/>
    </xf>
    <xf numFmtId="0" fontId="0" fillId="0" borderId="0" xfId="0" applyBorder="1"/>
    <xf numFmtId="166" fontId="1" fillId="0" borderId="0" xfId="0" applyNumberFormat="1" applyFont="1" applyBorder="1" applyAlignment="1">
      <alignment horizontal="right"/>
    </xf>
    <xf numFmtId="0" fontId="11" fillId="0" borderId="4" xfId="0" applyFont="1" applyBorder="1"/>
    <xf numFmtId="166" fontId="6" fillId="0" borderId="0" xfId="0" quotePrefix="1" applyNumberFormat="1" applyFont="1"/>
    <xf numFmtId="0" fontId="7" fillId="0" borderId="6" xfId="0" applyFont="1" applyBorder="1"/>
    <xf numFmtId="0" fontId="7" fillId="0" borderId="7" xfId="0" applyFont="1" applyBorder="1" applyAlignment="1">
      <alignment horizontal="right"/>
    </xf>
    <xf numFmtId="0" fontId="6" fillId="0" borderId="0" xfId="0" applyFont="1" applyAlignment="1">
      <alignment horizontal="right"/>
    </xf>
    <xf numFmtId="9" fontId="8" fillId="0" borderId="0" xfId="0" applyNumberFormat="1" applyFont="1"/>
    <xf numFmtId="170" fontId="8" fillId="0" borderId="0" xfId="0" applyNumberFormat="1" applyFont="1" applyBorder="1"/>
    <xf numFmtId="0" fontId="12" fillId="0" borderId="0" xfId="0" applyFont="1" applyBorder="1"/>
    <xf numFmtId="0" fontId="13" fillId="0" borderId="0" xfId="0" applyFont="1"/>
    <xf numFmtId="0" fontId="14" fillId="0" borderId="0" xfId="0" applyFont="1"/>
    <xf numFmtId="0" fontId="14" fillId="0" borderId="0" xfId="0" applyFont="1" applyAlignment="1"/>
    <xf numFmtId="1" fontId="13" fillId="0" borderId="0" xfId="0" applyNumberFormat="1" applyFont="1" applyAlignment="1"/>
    <xf numFmtId="1" fontId="14" fillId="0" borderId="0" xfId="0" applyNumberFormat="1" applyFont="1" applyBorder="1" applyAlignment="1"/>
    <xf numFmtId="1" fontId="14" fillId="0" borderId="0" xfId="0" applyNumberFormat="1" applyFont="1" applyAlignment="1"/>
    <xf numFmtId="0" fontId="16" fillId="0" borderId="0" xfId="0" applyFont="1" applyAlignment="1"/>
    <xf numFmtId="1" fontId="16" fillId="0" borderId="0" xfId="0" applyNumberFormat="1" applyFont="1" applyAlignment="1"/>
    <xf numFmtId="1" fontId="16" fillId="0" borderId="0" xfId="0" applyNumberFormat="1" applyFont="1" applyFill="1" applyBorder="1" applyAlignment="1"/>
    <xf numFmtId="0" fontId="16" fillId="0" borderId="4" xfId="0" applyFont="1" applyBorder="1" applyAlignment="1"/>
    <xf numFmtId="0" fontId="15" fillId="0" borderId="1" xfId="0" applyFont="1" applyBorder="1" applyAlignment="1"/>
    <xf numFmtId="0" fontId="15" fillId="0" borderId="5" xfId="0" applyFont="1" applyBorder="1" applyAlignment="1"/>
    <xf numFmtId="0" fontId="15" fillId="0" borderId="4" xfId="0" applyFont="1" applyBorder="1" applyAlignment="1"/>
    <xf numFmtId="0" fontId="15" fillId="0" borderId="10" xfId="0" applyFont="1" applyBorder="1" applyAlignment="1"/>
    <xf numFmtId="0" fontId="16" fillId="0" borderId="15" xfId="0" applyFont="1" applyBorder="1" applyAlignment="1"/>
    <xf numFmtId="0" fontId="16" fillId="0" borderId="8" xfId="0" applyFont="1" applyBorder="1" applyAlignment="1"/>
    <xf numFmtId="0" fontId="16" fillId="0" borderId="2" xfId="0" applyFont="1" applyBorder="1" applyAlignment="1"/>
    <xf numFmtId="0" fontId="15" fillId="0" borderId="9" xfId="0" applyFont="1" applyBorder="1" applyAlignment="1"/>
    <xf numFmtId="0" fontId="15" fillId="0" borderId="2" xfId="0" applyFont="1" applyBorder="1" applyAlignment="1"/>
    <xf numFmtId="0" fontId="16" fillId="0" borderId="9" xfId="0" applyFont="1" applyBorder="1" applyAlignment="1"/>
    <xf numFmtId="0" fontId="15" fillId="0" borderId="14" xfId="0" applyFont="1" applyBorder="1" applyAlignment="1">
      <alignment horizontal="center"/>
    </xf>
    <xf numFmtId="0" fontId="15" fillId="0" borderId="15" xfId="0" applyFont="1" applyBorder="1" applyAlignment="1"/>
    <xf numFmtId="0" fontId="15" fillId="0" borderId="0" xfId="0" applyFont="1" applyBorder="1" applyAlignment="1"/>
    <xf numFmtId="1" fontId="16" fillId="0" borderId="8" xfId="0" applyNumberFormat="1" applyFont="1" applyBorder="1" applyAlignment="1"/>
    <xf numFmtId="1" fontId="16" fillId="0" borderId="2" xfId="0" applyNumberFormat="1" applyFont="1" applyBorder="1" applyAlignment="1"/>
    <xf numFmtId="0" fontId="16" fillId="0" borderId="5" xfId="0" applyFont="1" applyBorder="1" applyAlignment="1"/>
    <xf numFmtId="0" fontId="16" fillId="0" borderId="10" xfId="0" applyFont="1" applyBorder="1" applyAlignment="1"/>
    <xf numFmtId="0" fontId="16" fillId="0" borderId="13" xfId="0" applyFont="1" applyBorder="1" applyAlignment="1"/>
    <xf numFmtId="0" fontId="15" fillId="0" borderId="13" xfId="0" applyFont="1" applyBorder="1" applyAlignment="1"/>
    <xf numFmtId="0" fontId="15" fillId="0" borderId="10" xfId="0" applyFont="1" applyFill="1" applyBorder="1" applyAlignment="1"/>
    <xf numFmtId="0" fontId="15" fillId="0" borderId="14" xfId="0" applyFont="1" applyBorder="1" applyAlignment="1"/>
    <xf numFmtId="0" fontId="15" fillId="0" borderId="11" xfId="0" applyFont="1" applyBorder="1" applyAlignment="1"/>
    <xf numFmtId="0" fontId="16" fillId="0" borderId="11" xfId="0" applyFont="1" applyBorder="1" applyAlignment="1"/>
    <xf numFmtId="0" fontId="16" fillId="0" borderId="0" xfId="0" applyFont="1" applyBorder="1" applyAlignment="1"/>
    <xf numFmtId="0" fontId="17" fillId="0" borderId="11" xfId="0" applyFont="1" applyBorder="1" applyAlignment="1"/>
    <xf numFmtId="0" fontId="16" fillId="0" borderId="12" xfId="0" applyFont="1" applyFill="1" applyBorder="1" applyAlignment="1"/>
    <xf numFmtId="0" fontId="16" fillId="0" borderId="12" xfId="0" applyFont="1" applyBorder="1" applyAlignment="1"/>
    <xf numFmtId="165" fontId="16" fillId="0" borderId="12" xfId="0" applyNumberFormat="1" applyFont="1" applyBorder="1" applyAlignment="1" applyProtection="1"/>
    <xf numFmtId="1" fontId="16" fillId="0" borderId="12" xfId="0" applyNumberFormat="1" applyFont="1" applyBorder="1" applyAlignment="1"/>
    <xf numFmtId="1" fontId="16" fillId="0" borderId="12" xfId="0" applyNumberFormat="1" applyFont="1" applyFill="1" applyBorder="1" applyAlignment="1"/>
    <xf numFmtId="167" fontId="16" fillId="0" borderId="12" xfId="0" applyNumberFormat="1" applyFont="1" applyBorder="1" applyAlignment="1" applyProtection="1"/>
    <xf numFmtId="2" fontId="16" fillId="0" borderId="12" xfId="0" applyNumberFormat="1" applyFont="1" applyBorder="1" applyAlignment="1"/>
    <xf numFmtId="166" fontId="16" fillId="0" borderId="12" xfId="0" applyNumberFormat="1" applyFont="1" applyBorder="1" applyAlignment="1"/>
    <xf numFmtId="165" fontId="16" fillId="0" borderId="12" xfId="0" applyNumberFormat="1" applyFont="1" applyFill="1" applyBorder="1" applyAlignment="1" applyProtection="1"/>
    <xf numFmtId="167" fontId="16" fillId="0" borderId="12" xfId="0" applyNumberFormat="1" applyFont="1" applyFill="1" applyBorder="1" applyAlignment="1" applyProtection="1"/>
    <xf numFmtId="2" fontId="16" fillId="0" borderId="12" xfId="0" applyNumberFormat="1" applyFont="1" applyFill="1" applyBorder="1" applyAlignment="1"/>
    <xf numFmtId="166" fontId="16" fillId="0" borderId="12" xfId="0" applyNumberFormat="1" applyFont="1" applyFill="1" applyBorder="1" applyAlignment="1"/>
    <xf numFmtId="0" fontId="16" fillId="0" borderId="0" xfId="0" applyFont="1" applyFill="1" applyAlignment="1"/>
    <xf numFmtId="0" fontId="15" fillId="0" borderId="0" xfId="0" applyFont="1" applyFill="1" applyAlignment="1"/>
    <xf numFmtId="0" fontId="16" fillId="0" borderId="0" xfId="0" applyFont="1"/>
    <xf numFmtId="0" fontId="16" fillId="0" borderId="0" xfId="0" applyFont="1" applyFill="1"/>
    <xf numFmtId="0" fontId="5" fillId="0" borderId="0" xfId="0" applyFont="1" applyBorder="1"/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0" fontId="7" fillId="0" borderId="2" xfId="0" applyFont="1" applyBorder="1" applyAlignment="1">
      <alignment horizontal="right"/>
    </xf>
    <xf numFmtId="165" fontId="6" fillId="0" borderId="0" xfId="0" quotePrefix="1" applyNumberFormat="1" applyFont="1" applyAlignment="1" applyProtection="1">
      <alignment horizontal="right"/>
    </xf>
    <xf numFmtId="2" fontId="6" fillId="0" borderId="0" xfId="0" quotePrefix="1" applyNumberFormat="1" applyFont="1" applyAlignment="1">
      <alignment horizontal="right"/>
    </xf>
    <xf numFmtId="2" fontId="6" fillId="0" borderId="0" xfId="0" quotePrefix="1" applyNumberFormat="1" applyFont="1" applyAlignment="1" applyProtection="1">
      <alignment horizontal="right"/>
    </xf>
    <xf numFmtId="0" fontId="6" fillId="0" borderId="0" xfId="0" quotePrefix="1" applyFont="1" applyAlignment="1">
      <alignment horizontal="center"/>
    </xf>
    <xf numFmtId="166" fontId="6" fillId="0" borderId="2" xfId="0" applyNumberFormat="1" applyFont="1" applyBorder="1"/>
    <xf numFmtId="0" fontId="7" fillId="0" borderId="3" xfId="0" applyFont="1" applyBorder="1"/>
    <xf numFmtId="0" fontId="6" fillId="0" borderId="6" xfId="0" applyFont="1" applyBorder="1"/>
    <xf numFmtId="1" fontId="6" fillId="0" borderId="7" xfId="0" applyNumberFormat="1" applyFont="1" applyBorder="1"/>
    <xf numFmtId="0" fontId="6" fillId="0" borderId="0" xfId="0" quotePrefix="1" applyFont="1" applyAlignment="1">
      <alignment horizontal="right"/>
    </xf>
    <xf numFmtId="0" fontId="7" fillId="0" borderId="1" xfId="0" applyFont="1" applyBorder="1"/>
    <xf numFmtId="0" fontId="7" fillId="0" borderId="0" xfId="0" quotePrefix="1" applyFont="1" applyBorder="1"/>
    <xf numFmtId="2" fontId="6" fillId="0" borderId="0" xfId="0" quotePrefix="1" applyNumberFormat="1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7" fillId="0" borderId="0" xfId="0" applyFont="1" applyAlignment="1">
      <alignment horizontal="right"/>
    </xf>
    <xf numFmtId="167" fontId="6" fillId="0" borderId="0" xfId="0" applyNumberFormat="1" applyFont="1" applyBorder="1" applyAlignment="1" applyProtection="1">
      <alignment horizontal="right"/>
    </xf>
    <xf numFmtId="167" fontId="6" fillId="0" borderId="0" xfId="0" applyNumberFormat="1" applyFont="1" applyBorder="1" applyAlignment="1">
      <alignment horizontal="right"/>
    </xf>
    <xf numFmtId="165" fontId="6" fillId="0" borderId="0" xfId="0" applyNumberFormat="1" applyFont="1"/>
    <xf numFmtId="2" fontId="5" fillId="0" borderId="0" xfId="0" applyNumberFormat="1" applyFont="1"/>
    <xf numFmtId="167" fontId="6" fillId="0" borderId="2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2" fontId="1" fillId="0" borderId="0" xfId="0" quotePrefix="1" applyNumberFormat="1" applyFont="1" applyFill="1" applyAlignment="1" applyProtection="1">
      <alignment horizontal="right"/>
    </xf>
    <xf numFmtId="0" fontId="1" fillId="0" borderId="0" xfId="0" quotePrefix="1" applyFont="1" applyFill="1" applyAlignment="1">
      <alignment horizontal="right"/>
    </xf>
    <xf numFmtId="0" fontId="2" fillId="0" borderId="3" xfId="0" applyFont="1" applyBorder="1"/>
    <xf numFmtId="2" fontId="1" fillId="0" borderId="0" xfId="0" applyNumberFormat="1" applyFont="1" applyFill="1" applyAlignment="1">
      <alignment horizontal="right"/>
    </xf>
    <xf numFmtId="0" fontId="2" fillId="0" borderId="1" xfId="0" applyFont="1" applyBorder="1"/>
    <xf numFmtId="0" fontId="18" fillId="0" borderId="0" xfId="0" applyFont="1"/>
    <xf numFmtId="0" fontId="19" fillId="0" borderId="0" xfId="0" applyFont="1"/>
    <xf numFmtId="2" fontId="1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2" xfId="0" applyFont="1" applyBorder="1"/>
    <xf numFmtId="0" fontId="2" fillId="0" borderId="0" xfId="0" quotePrefix="1" applyFont="1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168" fontId="1" fillId="0" borderId="0" xfId="0" applyNumberFormat="1" applyFont="1" applyAlignment="1">
      <alignment horizontal="right"/>
    </xf>
    <xf numFmtId="0" fontId="2" fillId="0" borderId="0" xfId="0" applyFont="1" applyBorder="1" applyAlignment="1">
      <alignment horizontal="center"/>
    </xf>
    <xf numFmtId="165" fontId="1" fillId="0" borderId="0" xfId="0" applyNumberFormat="1" applyFont="1" applyAlignment="1" applyProtection="1">
      <alignment horizontal="right"/>
    </xf>
    <xf numFmtId="2" fontId="1" fillId="0" borderId="0" xfId="0" applyNumberFormat="1" applyFont="1" applyFill="1" applyAlignment="1" applyProtection="1">
      <alignment horizontal="right"/>
    </xf>
    <xf numFmtId="2" fontId="1" fillId="0" borderId="0" xfId="0" applyNumberFormat="1" applyFont="1" applyAlignment="1" applyProtection="1">
      <alignment horizontal="right"/>
    </xf>
    <xf numFmtId="2" fontId="2" fillId="0" borderId="0" xfId="0" applyNumberFormat="1" applyFont="1" applyFill="1" applyAlignment="1">
      <alignment horizontal="right"/>
    </xf>
    <xf numFmtId="165" fontId="1" fillId="0" borderId="1" xfId="0" applyNumberFormat="1" applyFont="1" applyBorder="1" applyAlignment="1" applyProtection="1">
      <alignment horizontal="right"/>
    </xf>
    <xf numFmtId="2" fontId="1" fillId="0" borderId="1" xfId="0" applyNumberFormat="1" applyFont="1" applyBorder="1" applyAlignment="1">
      <alignment horizontal="right"/>
    </xf>
    <xf numFmtId="165" fontId="1" fillId="0" borderId="2" xfId="0" applyNumberFormat="1" applyFont="1" applyBorder="1" applyAlignment="1" applyProtection="1">
      <alignment horizontal="right"/>
    </xf>
    <xf numFmtId="0" fontId="1" fillId="0" borderId="0" xfId="0" quotePrefix="1" applyFont="1" applyBorder="1" applyAlignment="1"/>
    <xf numFmtId="0" fontId="2" fillId="0" borderId="0" xfId="0" applyFont="1" applyBorder="1" applyAlignment="1"/>
    <xf numFmtId="9" fontId="1" fillId="0" borderId="12" xfId="0" applyNumberFormat="1" applyFont="1" applyBorder="1" applyAlignment="1">
      <alignment horizontal="right"/>
    </xf>
    <xf numFmtId="1" fontId="1" fillId="0" borderId="10" xfId="0" applyNumberFormat="1" applyFont="1" applyBorder="1"/>
    <xf numFmtId="1" fontId="1" fillId="0" borderId="11" xfId="0" applyNumberFormat="1" applyFont="1" applyBorder="1"/>
    <xf numFmtId="0" fontId="2" fillId="0" borderId="2" xfId="0" applyFont="1" applyBorder="1" applyAlignment="1">
      <alignment horizontal="left"/>
    </xf>
    <xf numFmtId="166" fontId="1" fillId="0" borderId="0" xfId="0" applyNumberFormat="1" applyFont="1" applyAlignment="1">
      <alignment horizontal="right"/>
    </xf>
    <xf numFmtId="1" fontId="1" fillId="0" borderId="0" xfId="0" quotePrefix="1" applyNumberFormat="1" applyFont="1" applyAlignment="1">
      <alignment horizontal="right"/>
    </xf>
    <xf numFmtId="0" fontId="1" fillId="0" borderId="15" xfId="0" applyFont="1" applyBorder="1"/>
    <xf numFmtId="165" fontId="1" fillId="0" borderId="0" xfId="0" applyNumberFormat="1" applyFont="1"/>
    <xf numFmtId="0" fontId="7" fillId="0" borderId="0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6" fillId="0" borderId="0" xfId="0" applyFont="1" applyAlignment="1"/>
    <xf numFmtId="0" fontId="6" fillId="0" borderId="0" xfId="0" quotePrefix="1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0" xfId="0" applyFont="1" applyAlignment="1">
      <alignment horizontal="left"/>
    </xf>
    <xf numFmtId="1" fontId="6" fillId="0" borderId="0" xfId="0" applyNumberFormat="1" applyFont="1" applyAlignment="1">
      <alignment horizontal="right"/>
    </xf>
    <xf numFmtId="2" fontId="6" fillId="0" borderId="0" xfId="0" applyNumberFormat="1" applyFont="1" applyAlignment="1">
      <alignment horizontal="right"/>
    </xf>
    <xf numFmtId="0" fontId="9" fillId="0" borderId="3" xfId="0" applyFont="1" applyBorder="1"/>
    <xf numFmtId="2" fontId="8" fillId="0" borderId="0" xfId="0" applyNumberFormat="1" applyFont="1" applyAlignment="1">
      <alignment horizontal="right"/>
    </xf>
    <xf numFmtId="0" fontId="2" fillId="0" borderId="6" xfId="0" applyFont="1" applyBorder="1"/>
    <xf numFmtId="0" fontId="2" fillId="0" borderId="7" xfId="0" applyFont="1" applyBorder="1" applyAlignment="1">
      <alignment horizontal="right"/>
    </xf>
    <xf numFmtId="0" fontId="20" fillId="0" borderId="0" xfId="0" applyFont="1"/>
    <xf numFmtId="1" fontId="1" fillId="0" borderId="0" xfId="0" applyNumberFormat="1" applyFont="1" applyBorder="1" applyAlignment="1">
      <alignment horizontal="right"/>
    </xf>
    <xf numFmtId="1" fontId="1" fillId="0" borderId="0" xfId="0" quotePrefix="1" applyNumberFormat="1" applyFont="1"/>
    <xf numFmtId="9" fontId="1" fillId="0" borderId="12" xfId="0" applyNumberFormat="1" applyFont="1" applyBorder="1"/>
    <xf numFmtId="2" fontId="1" fillId="0" borderId="0" xfId="0" applyNumberFormat="1" applyFont="1" applyAlignment="1">
      <alignment horizontal="center"/>
    </xf>
    <xf numFmtId="166" fontId="1" fillId="0" borderId="0" xfId="0" applyNumberFormat="1" applyFont="1" applyFill="1"/>
    <xf numFmtId="1" fontId="1" fillId="0" borderId="1" xfId="0" applyNumberFormat="1" applyFont="1" applyBorder="1"/>
    <xf numFmtId="1" fontId="1" fillId="0" borderId="2" xfId="0" applyNumberFormat="1" applyFont="1" applyBorder="1"/>
    <xf numFmtId="1" fontId="14" fillId="0" borderId="0" xfId="0" applyNumberFormat="1" applyFont="1" applyFill="1" applyBorder="1" applyAlignment="1"/>
    <xf numFmtId="1" fontId="16" fillId="2" borderId="0" xfId="0" applyNumberFormat="1" applyFont="1" applyFill="1" applyBorder="1" applyAlignment="1"/>
    <xf numFmtId="1" fontId="16" fillId="0" borderId="0" xfId="0" applyNumberFormat="1" applyFont="1" applyBorder="1" applyAlignment="1"/>
    <xf numFmtId="0" fontId="15" fillId="2" borderId="0" xfId="0" applyFont="1" applyFill="1" applyBorder="1" applyAlignment="1"/>
    <xf numFmtId="165" fontId="16" fillId="0" borderId="12" xfId="0" applyNumberFormat="1" applyFont="1" applyBorder="1" applyAlignment="1" applyProtection="1">
      <alignment horizontal="right"/>
    </xf>
    <xf numFmtId="0" fontId="16" fillId="2" borderId="0" xfId="0" applyFont="1" applyFill="1" applyBorder="1" applyAlignment="1"/>
    <xf numFmtId="2" fontId="15" fillId="0" borderId="12" xfId="0" applyNumberFormat="1" applyFont="1" applyBorder="1" applyAlignment="1"/>
    <xf numFmtId="1" fontId="15" fillId="0" borderId="12" xfId="0" applyNumberFormat="1" applyFont="1" applyBorder="1" applyAlignment="1"/>
    <xf numFmtId="166" fontId="15" fillId="0" borderId="12" xfId="0" applyNumberFormat="1" applyFont="1" applyBorder="1" applyAlignment="1"/>
    <xf numFmtId="165" fontId="16" fillId="0" borderId="12" xfId="0" applyNumberFormat="1" applyFont="1" applyFill="1" applyBorder="1" applyAlignment="1" applyProtection="1">
      <alignment horizontal="right"/>
    </xf>
    <xf numFmtId="0" fontId="16" fillId="0" borderId="0" xfId="0" applyFont="1" applyFill="1" applyBorder="1" applyAlignment="1"/>
    <xf numFmtId="0" fontId="16" fillId="0" borderId="12" xfId="0" applyFont="1" applyFill="1" applyBorder="1" applyAlignment="1">
      <alignment horizontal="right"/>
    </xf>
    <xf numFmtId="0" fontId="16" fillId="2" borderId="0" xfId="0" applyFont="1" applyFill="1" applyAlignment="1"/>
    <xf numFmtId="0" fontId="16" fillId="2" borderId="0" xfId="0" applyFont="1" applyFill="1"/>
    <xf numFmtId="0" fontId="7" fillId="0" borderId="1" xfId="0" applyFont="1" applyBorder="1" applyAlignment="1">
      <alignment horizontal="center"/>
    </xf>
    <xf numFmtId="0" fontId="15" fillId="0" borderId="8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15" fillId="0" borderId="0" xfId="0" applyFont="1" applyBorder="1" applyAlignment="1">
      <alignment horizontal="center"/>
    </xf>
    <xf numFmtId="0" fontId="15" fillId="0" borderId="15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M61"/>
  <sheetViews>
    <sheetView topLeftCell="A10" workbookViewId="0">
      <selection activeCell="L43" sqref="L43"/>
    </sheetView>
  </sheetViews>
  <sheetFormatPr defaultRowHeight="15"/>
  <sheetData>
    <row r="3" spans="1:13">
      <c r="A3" s="88" t="s">
        <v>0</v>
      </c>
      <c r="B3" s="88" t="s">
        <v>396</v>
      </c>
      <c r="C3" s="88"/>
      <c r="D3" s="88"/>
      <c r="E3" s="88"/>
      <c r="F3" s="88"/>
      <c r="G3" s="88"/>
      <c r="H3" s="88"/>
      <c r="I3" s="88"/>
      <c r="J3" s="88" t="s">
        <v>3</v>
      </c>
      <c r="K3" s="88"/>
      <c r="L3" s="76"/>
      <c r="M3" s="76"/>
    </row>
    <row r="4" spans="1:13">
      <c r="A4" s="88"/>
      <c r="B4" s="88"/>
      <c r="C4" s="88"/>
      <c r="D4" s="88"/>
      <c r="E4" s="88"/>
      <c r="F4" s="88"/>
      <c r="G4" s="88"/>
      <c r="H4" s="88"/>
      <c r="I4" s="88"/>
      <c r="J4" s="88"/>
      <c r="K4" s="88"/>
      <c r="L4" s="76"/>
      <c r="M4" s="76"/>
    </row>
    <row r="5" spans="1:13">
      <c r="A5" s="76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</row>
    <row r="6" spans="1:13">
      <c r="A6" s="232" t="s">
        <v>4</v>
      </c>
      <c r="B6" s="232"/>
      <c r="C6" s="232"/>
      <c r="D6" s="232" t="s">
        <v>5</v>
      </c>
      <c r="E6" s="232" t="s">
        <v>6</v>
      </c>
      <c r="F6" s="232" t="s">
        <v>7</v>
      </c>
      <c r="G6" s="232" t="s">
        <v>8</v>
      </c>
      <c r="H6" s="232" t="s">
        <v>9</v>
      </c>
      <c r="I6" s="232" t="s">
        <v>10</v>
      </c>
      <c r="J6" s="232" t="s">
        <v>11</v>
      </c>
      <c r="K6" s="232" t="s">
        <v>12</v>
      </c>
      <c r="L6" s="232" t="s">
        <v>319</v>
      </c>
      <c r="M6" s="232"/>
    </row>
    <row r="7" spans="1:13">
      <c r="A7" s="292"/>
      <c r="B7" s="292"/>
      <c r="C7" s="292"/>
      <c r="D7" s="292" t="s">
        <v>320</v>
      </c>
      <c r="E7" s="292" t="s">
        <v>321</v>
      </c>
      <c r="F7" s="292" t="s">
        <v>321</v>
      </c>
      <c r="G7" s="292" t="s">
        <v>322</v>
      </c>
      <c r="H7" s="292" t="s">
        <v>378</v>
      </c>
      <c r="I7" s="292" t="s">
        <v>390</v>
      </c>
      <c r="J7" s="292" t="s">
        <v>328</v>
      </c>
      <c r="K7" s="292" t="s">
        <v>328</v>
      </c>
      <c r="L7" s="292" t="s">
        <v>326</v>
      </c>
      <c r="M7" s="292" t="s">
        <v>327</v>
      </c>
    </row>
    <row r="8" spans="1:13">
      <c r="A8" s="293"/>
      <c r="B8" s="293"/>
      <c r="C8" s="293"/>
      <c r="D8" s="293" t="s">
        <v>21</v>
      </c>
      <c r="E8" s="293"/>
      <c r="F8" s="293"/>
      <c r="G8" s="293"/>
      <c r="H8" s="293" t="s">
        <v>352</v>
      </c>
      <c r="I8" s="293" t="s">
        <v>328</v>
      </c>
      <c r="J8" s="293"/>
      <c r="K8" s="293"/>
      <c r="L8" s="293"/>
      <c r="M8" s="293"/>
    </row>
    <row r="9" spans="1:13">
      <c r="A9" s="76" t="s">
        <v>153</v>
      </c>
      <c r="B9" s="76"/>
      <c r="C9" s="76"/>
      <c r="D9" s="80">
        <v>47</v>
      </c>
      <c r="E9" s="81">
        <v>0.7</v>
      </c>
      <c r="F9" s="81">
        <v>0.6</v>
      </c>
      <c r="G9" s="82">
        <v>1275</v>
      </c>
      <c r="H9" s="83">
        <v>893</v>
      </c>
      <c r="I9" s="76"/>
      <c r="J9" s="83">
        <v>2022</v>
      </c>
      <c r="K9" s="83">
        <f>+J9+I9+H9</f>
        <v>2915</v>
      </c>
      <c r="L9" s="76"/>
      <c r="M9" s="76"/>
    </row>
    <row r="10" spans="1:13">
      <c r="A10" s="76" t="s">
        <v>94</v>
      </c>
      <c r="B10" s="76"/>
      <c r="C10" s="76"/>
      <c r="D10" s="84" t="s">
        <v>154</v>
      </c>
      <c r="E10" s="90" t="s">
        <v>155</v>
      </c>
      <c r="F10" s="90" t="s">
        <v>156</v>
      </c>
      <c r="G10" s="85" t="s">
        <v>157</v>
      </c>
      <c r="H10" s="90" t="s">
        <v>214</v>
      </c>
      <c r="I10" s="76"/>
      <c r="J10" s="83"/>
      <c r="K10" s="83"/>
      <c r="L10" s="76"/>
      <c r="M10" s="76"/>
    </row>
    <row r="11" spans="1:13">
      <c r="A11" s="76" t="s">
        <v>244</v>
      </c>
      <c r="B11" s="76"/>
      <c r="C11" s="76"/>
      <c r="D11" s="80">
        <v>40</v>
      </c>
      <c r="E11" s="81">
        <v>0.5</v>
      </c>
      <c r="F11" s="81">
        <v>0.4</v>
      </c>
      <c r="G11" s="82">
        <v>1275</v>
      </c>
      <c r="H11" s="83">
        <v>638</v>
      </c>
      <c r="I11" s="76">
        <v>4942</v>
      </c>
      <c r="J11" s="83"/>
      <c r="K11" s="83">
        <f t="shared" ref="K11:K25" si="0">+J11+I11+H11</f>
        <v>5580</v>
      </c>
      <c r="L11" s="76"/>
      <c r="M11" s="76"/>
    </row>
    <row r="12" spans="1:13">
      <c r="A12" s="86" t="s">
        <v>158</v>
      </c>
      <c r="B12" s="76"/>
      <c r="C12" s="76"/>
      <c r="D12" s="84" t="s">
        <v>166</v>
      </c>
      <c r="E12" s="90" t="s">
        <v>159</v>
      </c>
      <c r="F12" s="90" t="s">
        <v>155</v>
      </c>
      <c r="G12" s="85" t="s">
        <v>160</v>
      </c>
      <c r="H12" s="90" t="s">
        <v>213</v>
      </c>
      <c r="I12" s="76"/>
      <c r="J12" s="83"/>
      <c r="K12" s="83"/>
      <c r="L12" s="76"/>
      <c r="M12" s="76"/>
    </row>
    <row r="13" spans="1:13">
      <c r="A13" s="116" t="s">
        <v>85</v>
      </c>
      <c r="B13" s="116"/>
      <c r="C13" s="116"/>
      <c r="D13" s="80">
        <v>100</v>
      </c>
      <c r="E13" s="81">
        <v>7.3</v>
      </c>
      <c r="F13" s="81">
        <v>5.5</v>
      </c>
      <c r="G13" s="82">
        <v>1193</v>
      </c>
      <c r="H13" s="83">
        <v>8709</v>
      </c>
      <c r="I13" s="76"/>
      <c r="J13" s="81">
        <v>6715</v>
      </c>
      <c r="K13" s="83">
        <f t="shared" si="0"/>
        <v>15424</v>
      </c>
      <c r="L13" s="76"/>
      <c r="M13" s="81"/>
    </row>
    <row r="14" spans="1:13">
      <c r="A14" s="116" t="s">
        <v>37</v>
      </c>
      <c r="B14" s="116"/>
      <c r="C14" s="116"/>
      <c r="D14" s="80">
        <v>60</v>
      </c>
      <c r="E14" s="81">
        <v>8</v>
      </c>
      <c r="F14" s="81">
        <v>4.0999999999999996</v>
      </c>
      <c r="G14" s="82">
        <v>1193</v>
      </c>
      <c r="H14" s="83">
        <v>9544</v>
      </c>
      <c r="I14" s="76"/>
      <c r="J14" s="83"/>
      <c r="K14" s="83">
        <f t="shared" si="0"/>
        <v>9544</v>
      </c>
      <c r="L14" s="76"/>
      <c r="M14" s="87"/>
    </row>
    <row r="15" spans="1:13">
      <c r="A15" s="116" t="s">
        <v>201</v>
      </c>
      <c r="B15" s="116"/>
      <c r="C15" s="116"/>
      <c r="D15" s="80">
        <v>40</v>
      </c>
      <c r="E15" s="81">
        <v>0.7</v>
      </c>
      <c r="F15" s="81">
        <v>0.7</v>
      </c>
      <c r="G15" s="82">
        <v>1275</v>
      </c>
      <c r="H15" s="83">
        <v>893</v>
      </c>
      <c r="I15" s="76"/>
      <c r="J15" s="83">
        <v>2471</v>
      </c>
      <c r="K15" s="83">
        <f t="shared" si="0"/>
        <v>3364</v>
      </c>
      <c r="L15" s="76"/>
      <c r="M15" s="87"/>
    </row>
    <row r="16" spans="1:13">
      <c r="A16" s="116" t="s">
        <v>86</v>
      </c>
      <c r="B16" s="116"/>
      <c r="C16" s="116"/>
      <c r="D16" s="80">
        <v>100</v>
      </c>
      <c r="E16" s="81">
        <v>3.5</v>
      </c>
      <c r="F16" s="81">
        <v>3.3</v>
      </c>
      <c r="G16" s="82">
        <v>1193</v>
      </c>
      <c r="H16" s="83">
        <v>4176</v>
      </c>
      <c r="I16" s="76"/>
      <c r="J16" s="83">
        <f>+G44*E44+G45*E45+G46*E46</f>
        <v>5999</v>
      </c>
      <c r="K16" s="83">
        <f t="shared" si="0"/>
        <v>10175</v>
      </c>
      <c r="L16" s="76"/>
      <c r="M16" s="87"/>
    </row>
    <row r="17" spans="1:13">
      <c r="A17" s="116" t="s">
        <v>134</v>
      </c>
      <c r="B17" s="116"/>
      <c r="C17" s="116"/>
      <c r="D17" s="80">
        <v>87</v>
      </c>
      <c r="E17" s="81">
        <v>0.6</v>
      </c>
      <c r="F17" s="81">
        <v>0.5</v>
      </c>
      <c r="G17" s="82">
        <v>1275</v>
      </c>
      <c r="H17" s="83">
        <v>765</v>
      </c>
      <c r="I17" s="76"/>
      <c r="J17" s="83">
        <v>1132</v>
      </c>
      <c r="K17" s="83">
        <f t="shared" si="0"/>
        <v>1897</v>
      </c>
      <c r="L17" s="76"/>
      <c r="M17" s="87"/>
    </row>
    <row r="18" spans="1:13">
      <c r="A18" s="116" t="s">
        <v>331</v>
      </c>
      <c r="B18" s="116"/>
      <c r="C18" s="116"/>
      <c r="D18" s="80">
        <v>100</v>
      </c>
      <c r="E18" s="81">
        <v>5.5</v>
      </c>
      <c r="F18" s="81">
        <v>5.4</v>
      </c>
      <c r="G18" s="82">
        <v>1190</v>
      </c>
      <c r="H18" s="83">
        <v>6545</v>
      </c>
      <c r="I18" s="76"/>
      <c r="J18" s="83"/>
      <c r="K18" s="83">
        <f t="shared" si="0"/>
        <v>6545</v>
      </c>
      <c r="L18" s="76"/>
      <c r="M18" s="76"/>
    </row>
    <row r="19" spans="1:13">
      <c r="A19" s="116" t="s">
        <v>143</v>
      </c>
      <c r="B19" s="116"/>
      <c r="C19" s="116"/>
      <c r="D19" s="80">
        <v>100</v>
      </c>
      <c r="E19" s="81">
        <v>8.6999999999999993</v>
      </c>
      <c r="F19" s="81">
        <v>6.3</v>
      </c>
      <c r="G19" s="82">
        <v>1190</v>
      </c>
      <c r="H19" s="83">
        <v>10353</v>
      </c>
      <c r="I19" s="76"/>
      <c r="J19" s="83"/>
      <c r="K19" s="83">
        <f t="shared" si="0"/>
        <v>10353</v>
      </c>
      <c r="L19" s="76"/>
      <c r="M19" s="76"/>
    </row>
    <row r="20" spans="1:13">
      <c r="A20" s="116" t="s">
        <v>397</v>
      </c>
      <c r="B20" s="116"/>
      <c r="C20" s="116"/>
      <c r="D20" s="86"/>
      <c r="E20" s="76"/>
      <c r="F20" s="76"/>
      <c r="G20" s="76"/>
      <c r="H20" s="83"/>
      <c r="I20" s="76"/>
      <c r="J20" s="83"/>
      <c r="K20" s="83">
        <f t="shared" si="0"/>
        <v>0</v>
      </c>
      <c r="L20" s="76"/>
      <c r="M20" s="76"/>
    </row>
    <row r="21" spans="1:13">
      <c r="A21" s="116" t="s">
        <v>245</v>
      </c>
      <c r="B21" s="116"/>
      <c r="C21" s="116"/>
      <c r="D21" s="80"/>
      <c r="E21" s="83"/>
      <c r="F21" s="83"/>
      <c r="G21" s="82"/>
      <c r="H21" s="83"/>
      <c r="I21" s="76"/>
      <c r="J21" s="88"/>
      <c r="K21" s="83">
        <f t="shared" si="0"/>
        <v>0</v>
      </c>
      <c r="L21" s="76"/>
      <c r="M21" s="76"/>
    </row>
    <row r="22" spans="1:13">
      <c r="A22" s="116" t="s">
        <v>161</v>
      </c>
      <c r="B22" s="116"/>
      <c r="C22" s="116"/>
      <c r="D22" s="84">
        <v>83</v>
      </c>
      <c r="E22" s="81">
        <v>1.1000000000000001</v>
      </c>
      <c r="F22" s="81">
        <v>1.1000000000000001</v>
      </c>
      <c r="G22" s="82">
        <v>1190</v>
      </c>
      <c r="H22" s="83">
        <v>1309</v>
      </c>
      <c r="I22" s="83">
        <v>2093</v>
      </c>
      <c r="J22" s="83"/>
      <c r="K22" s="83">
        <f t="shared" si="0"/>
        <v>3402</v>
      </c>
      <c r="L22" s="76"/>
      <c r="M22" s="76"/>
    </row>
    <row r="23" spans="1:13">
      <c r="A23" s="116" t="s">
        <v>398</v>
      </c>
      <c r="B23" s="116"/>
      <c r="C23" s="116"/>
      <c r="D23" s="84" t="s">
        <v>27</v>
      </c>
      <c r="E23" s="90" t="s">
        <v>162</v>
      </c>
      <c r="F23" s="90" t="s">
        <v>163</v>
      </c>
      <c r="G23" s="85" t="s">
        <v>164</v>
      </c>
      <c r="H23" s="90" t="s">
        <v>215</v>
      </c>
      <c r="I23" s="76"/>
      <c r="J23" s="83"/>
      <c r="K23" s="83"/>
      <c r="L23" s="76"/>
      <c r="M23" s="76"/>
    </row>
    <row r="24" spans="1:13">
      <c r="A24" s="116" t="s">
        <v>145</v>
      </c>
      <c r="B24" s="116"/>
      <c r="C24" s="116"/>
      <c r="D24" s="84">
        <v>67</v>
      </c>
      <c r="E24" s="173">
        <v>2.8</v>
      </c>
      <c r="F24" s="173">
        <v>2.8</v>
      </c>
      <c r="G24" s="85">
        <v>1190</v>
      </c>
      <c r="H24" s="83">
        <v>3332</v>
      </c>
      <c r="I24" s="86"/>
      <c r="J24" s="83"/>
      <c r="K24" s="83">
        <f t="shared" si="0"/>
        <v>3332</v>
      </c>
      <c r="L24" s="76"/>
      <c r="M24" s="76"/>
    </row>
    <row r="25" spans="1:13">
      <c r="A25" s="116" t="s">
        <v>42</v>
      </c>
      <c r="B25" s="116"/>
      <c r="C25" s="116"/>
      <c r="D25" s="80">
        <v>67</v>
      </c>
      <c r="E25" s="81">
        <v>0.6</v>
      </c>
      <c r="F25" s="81">
        <v>0.2</v>
      </c>
      <c r="G25" s="82">
        <v>1275</v>
      </c>
      <c r="H25" s="83">
        <v>765</v>
      </c>
      <c r="I25" s="83">
        <v>1398</v>
      </c>
      <c r="J25" s="83"/>
      <c r="K25" s="83">
        <f t="shared" si="0"/>
        <v>2163</v>
      </c>
      <c r="L25" s="76">
        <v>146</v>
      </c>
      <c r="M25" s="76"/>
    </row>
    <row r="26" spans="1:13">
      <c r="A26" s="91" t="s">
        <v>333</v>
      </c>
      <c r="B26" s="91"/>
      <c r="C26" s="91"/>
      <c r="D26" s="92"/>
      <c r="E26" s="93">
        <f>SUM(E9:E25)</f>
        <v>40</v>
      </c>
      <c r="F26" s="93">
        <f>SUM(F9:F25)</f>
        <v>30.900000000000002</v>
      </c>
      <c r="G26" s="93"/>
      <c r="H26" s="93">
        <f>SUM(H9:H25)</f>
        <v>47922</v>
      </c>
      <c r="I26" s="93">
        <f t="shared" ref="I26:M26" si="1">SUM(I9:I25)</f>
        <v>8433</v>
      </c>
      <c r="J26" s="93">
        <f t="shared" si="1"/>
        <v>18339</v>
      </c>
      <c r="K26" s="93">
        <f t="shared" si="1"/>
        <v>74694</v>
      </c>
      <c r="L26" s="93">
        <f t="shared" si="1"/>
        <v>146</v>
      </c>
      <c r="M26" s="93">
        <f t="shared" si="1"/>
        <v>0</v>
      </c>
    </row>
    <row r="27" spans="1:13">
      <c r="A27" s="94" t="s">
        <v>334</v>
      </c>
      <c r="B27" s="94"/>
      <c r="C27" s="94"/>
      <c r="D27" s="95"/>
      <c r="E27" s="96">
        <f>SUM(E26-F26)</f>
        <v>9.0999999999999979</v>
      </c>
      <c r="F27" s="96"/>
      <c r="G27" s="96"/>
      <c r="H27" s="96">
        <v>10782</v>
      </c>
      <c r="I27" s="96">
        <f>I26-L26</f>
        <v>8287</v>
      </c>
      <c r="J27" s="96">
        <f>J26-M26</f>
        <v>18339</v>
      </c>
      <c r="K27" s="96">
        <f>SUM(H27:J27)</f>
        <v>37408</v>
      </c>
      <c r="L27" s="94"/>
      <c r="M27" s="94"/>
    </row>
    <row r="28" spans="1:13">
      <c r="A28" s="88"/>
      <c r="B28" s="76"/>
      <c r="C28" s="76"/>
      <c r="D28" s="76"/>
      <c r="E28" s="76"/>
      <c r="F28" s="76"/>
      <c r="G28" s="83"/>
      <c r="H28" s="76"/>
      <c r="I28" s="83"/>
      <c r="J28" s="76"/>
      <c r="K28" s="83"/>
      <c r="L28" s="76"/>
      <c r="M28" s="76"/>
    </row>
    <row r="29" spans="1:13">
      <c r="A29" s="76"/>
      <c r="B29" s="76"/>
      <c r="C29" s="88" t="s">
        <v>45</v>
      </c>
      <c r="D29" s="76"/>
      <c r="E29" s="76"/>
      <c r="F29" s="76"/>
      <c r="G29" s="76"/>
      <c r="H29" s="76"/>
      <c r="I29" s="76"/>
      <c r="J29" s="83"/>
      <c r="K29" s="83"/>
      <c r="L29" s="76"/>
      <c r="M29" s="76"/>
    </row>
    <row r="30" spans="1:13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83"/>
      <c r="L30" s="76"/>
      <c r="M30" s="76"/>
    </row>
    <row r="31" spans="1:13">
      <c r="A31" s="88" t="s">
        <v>46</v>
      </c>
      <c r="B31" s="88"/>
      <c r="C31" s="88"/>
      <c r="D31" s="88"/>
      <c r="E31" s="88"/>
      <c r="F31" s="88"/>
      <c r="G31" s="88"/>
      <c r="H31" s="76"/>
      <c r="I31" s="76"/>
      <c r="J31" s="76"/>
      <c r="K31" s="76"/>
      <c r="L31" s="76"/>
      <c r="M31" s="76"/>
    </row>
    <row r="32" spans="1:13">
      <c r="A32" s="241" t="s">
        <v>47</v>
      </c>
      <c r="B32" s="241"/>
      <c r="C32" s="241"/>
      <c r="D32" s="241" t="s">
        <v>48</v>
      </c>
      <c r="E32" s="241" t="s">
        <v>49</v>
      </c>
      <c r="F32" s="241"/>
      <c r="G32" s="241" t="s">
        <v>50</v>
      </c>
      <c r="H32" s="76"/>
      <c r="I32" s="174" t="s">
        <v>51</v>
      </c>
      <c r="J32" s="175" t="s">
        <v>52</v>
      </c>
      <c r="K32" s="76"/>
      <c r="L32" s="76"/>
      <c r="M32" s="76"/>
    </row>
    <row r="33" spans="1:13">
      <c r="A33" s="88" t="s">
        <v>53</v>
      </c>
      <c r="B33" s="76"/>
      <c r="C33" s="76"/>
      <c r="D33" s="76"/>
      <c r="E33" s="76"/>
      <c r="F33" s="76"/>
      <c r="G33" s="76"/>
      <c r="H33" s="76"/>
      <c r="I33" s="242" t="s">
        <v>90</v>
      </c>
      <c r="J33" s="243">
        <v>100</v>
      </c>
      <c r="K33" s="76"/>
      <c r="L33" s="76"/>
      <c r="M33" s="76"/>
    </row>
    <row r="34" spans="1:13">
      <c r="A34" s="76" t="s">
        <v>55</v>
      </c>
      <c r="B34" s="76"/>
      <c r="C34" s="76"/>
      <c r="D34" s="294" t="s">
        <v>66</v>
      </c>
      <c r="E34" s="83">
        <v>5.3</v>
      </c>
      <c r="F34" s="83"/>
      <c r="G34" s="83">
        <v>1267</v>
      </c>
      <c r="H34" s="76"/>
      <c r="I34" s="101"/>
      <c r="J34" s="102"/>
      <c r="K34" s="76"/>
      <c r="L34" s="76"/>
      <c r="M34" s="76"/>
    </row>
    <row r="35" spans="1:13">
      <c r="A35" s="76"/>
      <c r="B35" s="76"/>
      <c r="C35" s="76"/>
      <c r="D35" s="294"/>
      <c r="E35" s="90"/>
      <c r="F35" s="76"/>
      <c r="G35" s="86"/>
      <c r="H35" s="76"/>
      <c r="I35" s="101"/>
      <c r="J35" s="102"/>
      <c r="K35" s="76"/>
      <c r="L35" s="76"/>
      <c r="M35" s="76"/>
    </row>
    <row r="36" spans="1:13">
      <c r="A36" s="88" t="s">
        <v>57</v>
      </c>
      <c r="B36" s="76"/>
      <c r="C36" s="76"/>
      <c r="D36" s="294"/>
      <c r="E36" s="83"/>
      <c r="F36" s="76"/>
      <c r="G36" s="76"/>
      <c r="H36" s="76"/>
      <c r="I36" s="76"/>
      <c r="J36" s="76"/>
      <c r="K36" s="87"/>
      <c r="L36" s="76"/>
      <c r="M36" s="76"/>
    </row>
    <row r="37" spans="1:13">
      <c r="A37" s="76" t="s">
        <v>336</v>
      </c>
      <c r="B37" s="76"/>
      <c r="C37" s="76"/>
      <c r="D37" s="294" t="s">
        <v>59</v>
      </c>
      <c r="E37" s="83">
        <f>SUM(E26-F26)</f>
        <v>9.0999999999999979</v>
      </c>
      <c r="F37" s="87"/>
      <c r="G37" s="83">
        <v>1198</v>
      </c>
      <c r="H37" s="76"/>
      <c r="I37" s="91" t="s">
        <v>60</v>
      </c>
      <c r="J37" s="91">
        <v>1.7</v>
      </c>
      <c r="K37" s="87"/>
      <c r="L37" s="76"/>
      <c r="M37" s="76"/>
    </row>
    <row r="38" spans="1:13">
      <c r="A38" s="76" t="s">
        <v>337</v>
      </c>
      <c r="B38" s="76"/>
      <c r="C38" s="76"/>
      <c r="D38" s="294" t="s">
        <v>59</v>
      </c>
      <c r="E38" s="83">
        <f>SUM(F26)</f>
        <v>30.900000000000002</v>
      </c>
      <c r="F38" s="87"/>
      <c r="G38" s="87"/>
      <c r="H38" s="76"/>
      <c r="I38" s="94" t="s">
        <v>62</v>
      </c>
      <c r="J38" s="96">
        <v>1</v>
      </c>
      <c r="K38" s="76"/>
      <c r="L38" s="76"/>
      <c r="M38" s="76"/>
    </row>
    <row r="39" spans="1:13">
      <c r="A39" s="76" t="s">
        <v>6</v>
      </c>
      <c r="B39" s="76"/>
      <c r="C39" s="76"/>
      <c r="D39" s="76"/>
      <c r="E39" s="83">
        <f>SUM(E37:E38)</f>
        <v>40</v>
      </c>
      <c r="F39" s="87"/>
      <c r="G39" s="87"/>
      <c r="H39" s="76"/>
      <c r="I39" s="76"/>
      <c r="J39" s="76"/>
      <c r="K39" s="89"/>
      <c r="L39" s="76"/>
      <c r="M39" s="76"/>
    </row>
    <row r="40" spans="1:13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</row>
    <row r="41" spans="1:13">
      <c r="A41" s="245" t="s">
        <v>395</v>
      </c>
      <c r="B41" s="245"/>
      <c r="C41" s="245" t="s">
        <v>375</v>
      </c>
      <c r="D41" s="91"/>
      <c r="E41" s="91"/>
      <c r="F41" s="91"/>
      <c r="G41" s="91"/>
      <c r="H41" s="76"/>
      <c r="I41" s="76"/>
      <c r="J41" s="76"/>
      <c r="K41" s="76"/>
      <c r="L41" s="76"/>
      <c r="M41" s="76"/>
    </row>
    <row r="42" spans="1:13">
      <c r="A42" s="88"/>
      <c r="B42" s="292"/>
      <c r="C42" s="246" t="s">
        <v>339</v>
      </c>
      <c r="D42" s="101"/>
      <c r="E42" s="101"/>
      <c r="F42" s="101"/>
      <c r="G42" s="101"/>
      <c r="H42" s="76"/>
      <c r="I42" s="76"/>
      <c r="J42" s="76"/>
      <c r="K42" s="76"/>
      <c r="L42" s="76"/>
      <c r="M42" s="76"/>
    </row>
    <row r="43" spans="1:13">
      <c r="A43" s="78" t="s">
        <v>65</v>
      </c>
      <c r="B43" s="78"/>
      <c r="C43" s="104" t="s">
        <v>166</v>
      </c>
      <c r="D43" s="105" t="s">
        <v>66</v>
      </c>
      <c r="E43" s="295" t="s">
        <v>167</v>
      </c>
      <c r="F43" s="105"/>
      <c r="G43" s="247" t="s">
        <v>168</v>
      </c>
      <c r="H43" s="76"/>
      <c r="I43" s="76"/>
      <c r="J43" s="76"/>
      <c r="K43" s="76"/>
      <c r="L43" s="76"/>
      <c r="M43" s="76"/>
    </row>
    <row r="44" spans="1:13">
      <c r="A44" s="78" t="s">
        <v>67</v>
      </c>
      <c r="B44" s="78"/>
      <c r="C44" s="104">
        <v>73</v>
      </c>
      <c r="D44" s="105" t="s">
        <v>66</v>
      </c>
      <c r="E44" s="248">
        <v>101</v>
      </c>
      <c r="F44" s="105"/>
      <c r="G44" s="248">
        <v>24</v>
      </c>
      <c r="H44" s="76"/>
      <c r="I44" s="76"/>
      <c r="J44" s="76"/>
      <c r="K44" s="76"/>
      <c r="L44" s="76"/>
      <c r="M44" s="76"/>
    </row>
    <row r="45" spans="1:13">
      <c r="A45" s="78" t="s">
        <v>169</v>
      </c>
      <c r="B45" s="78"/>
      <c r="C45" s="104">
        <v>50</v>
      </c>
      <c r="D45" s="105" t="s">
        <v>66</v>
      </c>
      <c r="E45" s="248">
        <v>46</v>
      </c>
      <c r="F45" s="105"/>
      <c r="G45" s="248">
        <v>25</v>
      </c>
      <c r="H45" s="76"/>
      <c r="I45" s="76"/>
      <c r="J45" s="76"/>
      <c r="K45" s="76"/>
      <c r="L45" s="76"/>
      <c r="M45" s="76"/>
    </row>
    <row r="46" spans="1:13">
      <c r="A46" s="116" t="s">
        <v>170</v>
      </c>
      <c r="B46" s="78"/>
      <c r="C46" s="104">
        <v>73</v>
      </c>
      <c r="D46" s="105" t="s">
        <v>66</v>
      </c>
      <c r="E46" s="247">
        <v>97</v>
      </c>
      <c r="F46" s="105"/>
      <c r="G46" s="247">
        <v>25</v>
      </c>
      <c r="H46" s="76"/>
      <c r="I46" s="76"/>
      <c r="J46" s="76"/>
      <c r="K46" s="76"/>
      <c r="L46" s="76"/>
      <c r="M46" s="76"/>
    </row>
    <row r="47" spans="1:13">
      <c r="A47" s="116"/>
      <c r="B47" s="116"/>
      <c r="C47" s="103"/>
      <c r="D47" s="101"/>
      <c r="E47" s="101"/>
      <c r="F47" s="101"/>
      <c r="G47" s="101"/>
      <c r="H47" s="76"/>
      <c r="I47" s="76"/>
      <c r="J47" s="76"/>
      <c r="K47" s="76"/>
      <c r="L47" s="76"/>
      <c r="M47" s="76"/>
    </row>
    <row r="48" spans="1:13">
      <c r="A48" s="245" t="s">
        <v>70</v>
      </c>
      <c r="B48" s="245"/>
      <c r="C48" s="245"/>
      <c r="D48" s="91"/>
      <c r="E48" s="91"/>
      <c r="F48" s="91"/>
      <c r="G48" s="233" t="s">
        <v>340</v>
      </c>
      <c r="H48" s="249"/>
      <c r="I48" s="249" t="s">
        <v>341</v>
      </c>
      <c r="J48" s="76"/>
      <c r="K48" s="76"/>
      <c r="L48" s="76"/>
      <c r="M48" s="76"/>
    </row>
    <row r="49" spans="1:13">
      <c r="A49" s="101" t="s">
        <v>342</v>
      </c>
      <c r="B49" s="101"/>
      <c r="C49" s="101"/>
      <c r="D49" s="101"/>
      <c r="E49" s="101"/>
      <c r="F49" s="101"/>
      <c r="G49" s="108">
        <v>1835</v>
      </c>
      <c r="H49" s="76"/>
      <c r="I49" s="83">
        <v>4534</v>
      </c>
      <c r="J49" s="87"/>
      <c r="K49" s="76"/>
      <c r="L49" s="76"/>
      <c r="M49" s="76"/>
    </row>
    <row r="50" spans="1:13">
      <c r="A50" s="101" t="s">
        <v>343</v>
      </c>
      <c r="B50" s="101"/>
      <c r="C50" s="101"/>
      <c r="D50" s="101"/>
      <c r="E50" s="101"/>
      <c r="F50" s="101"/>
      <c r="G50" s="109">
        <v>50</v>
      </c>
      <c r="H50" s="76"/>
      <c r="I50" s="83"/>
      <c r="J50" s="87"/>
      <c r="K50" s="83"/>
      <c r="L50" s="76"/>
      <c r="M50" s="76"/>
    </row>
    <row r="51" spans="1:13">
      <c r="A51" s="101" t="s">
        <v>360</v>
      </c>
      <c r="B51" s="101"/>
      <c r="C51" s="101"/>
      <c r="D51" s="101"/>
      <c r="E51" s="101"/>
      <c r="F51" s="101"/>
      <c r="G51" s="109">
        <f>+G50*G49</f>
        <v>91750</v>
      </c>
      <c r="H51" s="110"/>
      <c r="I51" s="83">
        <v>226714</v>
      </c>
      <c r="J51" s="87"/>
      <c r="K51" s="83"/>
      <c r="L51" s="76"/>
      <c r="M51" s="76"/>
    </row>
    <row r="52" spans="1:13">
      <c r="A52" s="101" t="s">
        <v>361</v>
      </c>
      <c r="B52" s="101"/>
      <c r="C52" s="101"/>
      <c r="D52" s="101"/>
      <c r="E52" s="101"/>
      <c r="F52" s="101"/>
      <c r="G52" s="109">
        <f>+G51-K26</f>
        <v>17056</v>
      </c>
      <c r="H52" s="110"/>
      <c r="I52" s="83">
        <v>42145</v>
      </c>
      <c r="J52" s="87"/>
      <c r="K52" s="76"/>
      <c r="L52" s="76"/>
      <c r="M52" s="76"/>
    </row>
    <row r="53" spans="1:13">
      <c r="A53" s="101" t="s">
        <v>362</v>
      </c>
      <c r="B53" s="101"/>
      <c r="C53" s="101"/>
      <c r="D53" s="101"/>
      <c r="E53" s="101"/>
      <c r="F53" s="101"/>
      <c r="G53" s="109">
        <f>+G51-K27</f>
        <v>54342</v>
      </c>
      <c r="H53" s="110"/>
      <c r="I53" s="87">
        <v>134279</v>
      </c>
      <c r="J53" s="87"/>
      <c r="K53" s="76"/>
      <c r="L53" s="76"/>
      <c r="M53" s="76"/>
    </row>
    <row r="54" spans="1:13">
      <c r="A54" s="101"/>
      <c r="B54" s="101"/>
      <c r="C54" s="101"/>
      <c r="D54" s="101"/>
      <c r="E54" s="101"/>
      <c r="F54" s="101"/>
      <c r="G54" s="109"/>
      <c r="H54" s="110"/>
      <c r="I54" s="110"/>
      <c r="J54" s="76"/>
      <c r="K54" s="76"/>
      <c r="L54" s="76"/>
      <c r="M54" s="76"/>
    </row>
    <row r="55" spans="1:13">
      <c r="A55" s="101" t="s">
        <v>399</v>
      </c>
      <c r="B55" s="101"/>
      <c r="C55" s="101"/>
      <c r="D55" s="101"/>
      <c r="E55" s="101"/>
      <c r="F55" s="101"/>
      <c r="G55" s="109">
        <f>+K26/G49</f>
        <v>40.705177111716623</v>
      </c>
      <c r="H55" s="76"/>
      <c r="I55" s="76"/>
      <c r="J55" s="76"/>
      <c r="K55" s="76"/>
      <c r="L55" s="76"/>
      <c r="M55" s="76"/>
    </row>
    <row r="56" spans="1:13">
      <c r="A56" s="94" t="s">
        <v>400</v>
      </c>
      <c r="B56" s="94"/>
      <c r="C56" s="94"/>
      <c r="D56" s="94"/>
      <c r="E56" s="94"/>
      <c r="F56" s="94"/>
      <c r="G56" s="111">
        <f>+K27/G49</f>
        <v>20.385831062670299</v>
      </c>
      <c r="H56" s="76"/>
      <c r="I56" s="76"/>
      <c r="J56" s="76"/>
      <c r="K56" s="76"/>
      <c r="L56" s="76"/>
      <c r="M56" s="76"/>
    </row>
    <row r="57" spans="1:13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</row>
    <row r="58" spans="1:13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</row>
    <row r="59" spans="1:13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</row>
    <row r="60" spans="1:13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</row>
    <row r="61" spans="1:13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M44"/>
  <sheetViews>
    <sheetView topLeftCell="A16" workbookViewId="0">
      <selection activeCell="H50" sqref="H50"/>
    </sheetView>
  </sheetViews>
  <sheetFormatPr defaultRowHeight="15"/>
  <sheetData>
    <row r="3" spans="1:13">
      <c r="A3" s="21" t="s">
        <v>0</v>
      </c>
      <c r="B3" s="21" t="s">
        <v>376</v>
      </c>
      <c r="C3" s="21"/>
      <c r="D3" s="21"/>
      <c r="E3" s="21"/>
      <c r="F3" s="21"/>
      <c r="G3" s="21"/>
      <c r="H3" s="21"/>
      <c r="I3" s="21"/>
      <c r="J3" s="21"/>
      <c r="K3" s="21" t="s">
        <v>118</v>
      </c>
      <c r="L3" s="1"/>
      <c r="M3" s="1"/>
    </row>
    <row r="4" spans="1:1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>
      <c r="A6" s="262" t="s">
        <v>4</v>
      </c>
      <c r="B6" s="262"/>
      <c r="C6" s="262"/>
      <c r="D6" s="255" t="s">
        <v>5</v>
      </c>
      <c r="E6" s="255" t="s">
        <v>6</v>
      </c>
      <c r="F6" s="255" t="s">
        <v>7</v>
      </c>
      <c r="G6" s="255" t="s">
        <v>8</v>
      </c>
      <c r="H6" s="255" t="s">
        <v>9</v>
      </c>
      <c r="I6" s="255" t="s">
        <v>10</v>
      </c>
      <c r="J6" s="255" t="s">
        <v>11</v>
      </c>
      <c r="K6" s="255" t="s">
        <v>12</v>
      </c>
      <c r="L6" s="267" t="s">
        <v>377</v>
      </c>
      <c r="M6" s="255"/>
    </row>
    <row r="7" spans="1:13">
      <c r="A7" s="168"/>
      <c r="B7" s="168"/>
      <c r="C7" s="168"/>
      <c r="D7" s="256" t="s">
        <v>320</v>
      </c>
      <c r="E7" s="256" t="s">
        <v>321</v>
      </c>
      <c r="F7" s="256" t="s">
        <v>321</v>
      </c>
      <c r="G7" s="256" t="s">
        <v>322</v>
      </c>
      <c r="H7" s="256" t="s">
        <v>328</v>
      </c>
      <c r="I7" s="283" t="s">
        <v>324</v>
      </c>
      <c r="J7" s="256" t="s">
        <v>378</v>
      </c>
      <c r="K7" s="256" t="s">
        <v>328</v>
      </c>
      <c r="L7" s="268" t="s">
        <v>350</v>
      </c>
      <c r="M7" s="256" t="s">
        <v>351</v>
      </c>
    </row>
    <row r="8" spans="1:13">
      <c r="A8" s="269"/>
      <c r="B8" s="269"/>
      <c r="C8" s="269"/>
      <c r="D8" s="257" t="s">
        <v>21</v>
      </c>
      <c r="E8" s="257"/>
      <c r="F8" s="257"/>
      <c r="G8" s="257"/>
      <c r="H8" s="257" t="s">
        <v>352</v>
      </c>
      <c r="I8" s="257" t="s">
        <v>328</v>
      </c>
      <c r="J8" s="257" t="s">
        <v>354</v>
      </c>
      <c r="K8" s="257" t="s">
        <v>352</v>
      </c>
      <c r="L8" s="257"/>
      <c r="M8" s="257"/>
    </row>
    <row r="9" spans="1:13">
      <c r="A9" s="27" t="s">
        <v>94</v>
      </c>
      <c r="B9" s="27"/>
      <c r="C9" s="27"/>
      <c r="D9" s="167" t="s">
        <v>154</v>
      </c>
      <c r="E9" s="167" t="s">
        <v>222</v>
      </c>
      <c r="F9" s="167" t="s">
        <v>223</v>
      </c>
      <c r="G9" s="167" t="s">
        <v>224</v>
      </c>
      <c r="H9" s="167" t="s">
        <v>225</v>
      </c>
      <c r="I9" s="32"/>
      <c r="J9" s="32"/>
      <c r="K9" s="32"/>
      <c r="L9" s="32"/>
      <c r="M9" s="32"/>
    </row>
    <row r="10" spans="1:13">
      <c r="A10" s="1" t="s">
        <v>119</v>
      </c>
      <c r="B10" s="1"/>
      <c r="C10" s="1"/>
      <c r="D10" s="64">
        <v>94</v>
      </c>
      <c r="E10" s="5">
        <v>0.6</v>
      </c>
      <c r="F10" s="5">
        <v>0.6</v>
      </c>
      <c r="G10" s="6">
        <v>1200</v>
      </c>
      <c r="H10" s="7">
        <f>+G10*E10</f>
        <v>720</v>
      </c>
      <c r="I10" s="7">
        <v>5610</v>
      </c>
      <c r="J10" s="7"/>
      <c r="K10" s="7">
        <v>6330</v>
      </c>
      <c r="L10" s="5">
        <v>106</v>
      </c>
      <c r="M10" s="1"/>
    </row>
    <row r="11" spans="1:13">
      <c r="A11" s="12" t="s">
        <v>379</v>
      </c>
      <c r="B11" s="1"/>
      <c r="C11" s="1"/>
      <c r="D11" s="65" t="s">
        <v>121</v>
      </c>
      <c r="E11" s="66" t="s">
        <v>122</v>
      </c>
      <c r="F11" s="66" t="s">
        <v>123</v>
      </c>
      <c r="G11" s="67" t="s">
        <v>105</v>
      </c>
      <c r="H11" s="68" t="s">
        <v>124</v>
      </c>
      <c r="I11" s="48"/>
      <c r="J11" s="7"/>
      <c r="K11" s="7"/>
      <c r="L11" s="7"/>
      <c r="M11" s="1"/>
    </row>
    <row r="12" spans="1:13">
      <c r="A12" s="12" t="s">
        <v>125</v>
      </c>
      <c r="B12" s="1"/>
      <c r="C12" s="1"/>
      <c r="D12" s="65">
        <v>41</v>
      </c>
      <c r="E12" s="9">
        <v>3.6</v>
      </c>
      <c r="F12" s="9">
        <v>1.9</v>
      </c>
      <c r="G12" s="6">
        <v>1200</v>
      </c>
      <c r="H12" s="13">
        <f>+G12*E12</f>
        <v>4320</v>
      </c>
      <c r="I12" s="1"/>
      <c r="J12" s="7">
        <v>3616</v>
      </c>
      <c r="K12" s="7">
        <v>7936</v>
      </c>
      <c r="L12" s="1"/>
      <c r="M12" s="5">
        <v>335</v>
      </c>
    </row>
    <row r="13" spans="1:13">
      <c r="A13" s="12" t="s">
        <v>126</v>
      </c>
      <c r="B13" s="1"/>
      <c r="C13" s="1"/>
      <c r="D13" s="65" t="s">
        <v>127</v>
      </c>
      <c r="E13" s="66"/>
      <c r="F13" s="66"/>
      <c r="G13" s="67"/>
      <c r="H13" s="68" t="s">
        <v>128</v>
      </c>
      <c r="I13" s="48" t="s">
        <v>129</v>
      </c>
      <c r="J13" s="7"/>
      <c r="K13" s="7"/>
      <c r="L13" s="11"/>
      <c r="M13" s="7"/>
    </row>
    <row r="14" spans="1:13">
      <c r="A14" s="12" t="s">
        <v>130</v>
      </c>
      <c r="B14" s="1"/>
      <c r="C14" s="1"/>
      <c r="D14" s="65" t="s">
        <v>131</v>
      </c>
      <c r="E14" s="66"/>
      <c r="F14" s="66"/>
      <c r="G14" s="67"/>
      <c r="H14" s="68" t="s">
        <v>132</v>
      </c>
      <c r="I14" s="48" t="s">
        <v>133</v>
      </c>
      <c r="J14" s="7"/>
      <c r="K14" s="7"/>
      <c r="L14" s="1"/>
      <c r="M14" s="1"/>
    </row>
    <row r="15" spans="1:13">
      <c r="A15" s="12" t="s">
        <v>37</v>
      </c>
      <c r="B15" s="1"/>
      <c r="C15" s="1"/>
      <c r="D15" s="65">
        <v>100</v>
      </c>
      <c r="E15" s="9">
        <v>6.4</v>
      </c>
      <c r="F15" s="9">
        <v>2.8</v>
      </c>
      <c r="G15" s="10">
        <v>1200</v>
      </c>
      <c r="H15" s="13">
        <f>+G15*E15</f>
        <v>7680</v>
      </c>
      <c r="I15" s="12"/>
      <c r="J15" s="7"/>
      <c r="K15" s="7">
        <v>7680</v>
      </c>
      <c r="L15" s="1"/>
      <c r="M15" s="1"/>
    </row>
    <row r="16" spans="1:13">
      <c r="A16" s="12" t="s">
        <v>134</v>
      </c>
      <c r="B16" s="1"/>
      <c r="C16" s="1"/>
      <c r="D16" s="65">
        <v>67</v>
      </c>
      <c r="E16" s="9">
        <v>0.7</v>
      </c>
      <c r="F16" s="9">
        <v>0.3</v>
      </c>
      <c r="G16" s="10">
        <v>1467</v>
      </c>
      <c r="H16" s="13">
        <v>1027</v>
      </c>
      <c r="I16" s="12"/>
      <c r="J16" s="7">
        <v>1305</v>
      </c>
      <c r="K16" s="7">
        <v>2332</v>
      </c>
      <c r="L16" s="1"/>
      <c r="M16" s="1"/>
    </row>
    <row r="17" spans="1:13">
      <c r="A17" s="12" t="s">
        <v>135</v>
      </c>
      <c r="B17" s="1"/>
      <c r="C17" s="1"/>
      <c r="D17" s="65">
        <v>100</v>
      </c>
      <c r="E17" s="9">
        <v>7.9</v>
      </c>
      <c r="F17" s="9">
        <v>4.5</v>
      </c>
      <c r="G17" s="10">
        <v>1300</v>
      </c>
      <c r="H17" s="13">
        <f t="shared" ref="H17:H18" si="0">+G17*E17</f>
        <v>10270</v>
      </c>
      <c r="I17" s="12"/>
      <c r="J17" s="7"/>
      <c r="K17" s="7">
        <v>10270</v>
      </c>
      <c r="L17" s="1"/>
      <c r="M17" s="1"/>
    </row>
    <row r="18" spans="1:13">
      <c r="A18" s="12" t="s">
        <v>136</v>
      </c>
      <c r="B18" s="1"/>
      <c r="C18" s="1"/>
      <c r="D18" s="65">
        <v>100</v>
      </c>
      <c r="E18" s="9">
        <v>2.7</v>
      </c>
      <c r="F18" s="9">
        <v>2.4</v>
      </c>
      <c r="G18" s="10">
        <v>1300</v>
      </c>
      <c r="H18" s="13">
        <f t="shared" si="0"/>
        <v>3510.0000000000005</v>
      </c>
      <c r="I18" s="12"/>
      <c r="J18" s="7"/>
      <c r="K18" s="7">
        <v>3510</v>
      </c>
      <c r="L18" s="1"/>
      <c r="M18" s="1"/>
    </row>
    <row r="19" spans="1:13">
      <c r="A19" s="15" t="s">
        <v>333</v>
      </c>
      <c r="B19" s="15"/>
      <c r="C19" s="15"/>
      <c r="D19" s="16"/>
      <c r="E19" s="17">
        <f>SUM(E10:E18)</f>
        <v>21.900000000000002</v>
      </c>
      <c r="F19" s="17">
        <f>SUM(F10:F18)</f>
        <v>12.5</v>
      </c>
      <c r="G19" s="17"/>
      <c r="H19" s="17">
        <f>SUM(H10:H18)</f>
        <v>27527</v>
      </c>
      <c r="I19" s="17">
        <f t="shared" ref="I19:M19" si="1">SUM(I10:I18)</f>
        <v>5610</v>
      </c>
      <c r="J19" s="17">
        <f t="shared" si="1"/>
        <v>4921</v>
      </c>
      <c r="K19" s="17">
        <f>SUM(H19:J19)</f>
        <v>38058</v>
      </c>
      <c r="L19" s="69">
        <f t="shared" si="1"/>
        <v>106</v>
      </c>
      <c r="M19" s="17">
        <f t="shared" si="1"/>
        <v>335</v>
      </c>
    </row>
    <row r="20" spans="1:13">
      <c r="A20" s="18" t="s">
        <v>334</v>
      </c>
      <c r="B20" s="18"/>
      <c r="C20" s="18"/>
      <c r="D20" s="19"/>
      <c r="E20" s="20">
        <f>SUM(E19-F19)</f>
        <v>9.4000000000000021</v>
      </c>
      <c r="F20" s="20"/>
      <c r="G20" s="20"/>
      <c r="H20" s="20">
        <f>+G31*E31</f>
        <v>11259</v>
      </c>
      <c r="I20" s="20">
        <f>I19-L19</f>
        <v>5504</v>
      </c>
      <c r="J20" s="20">
        <f>J19-M19</f>
        <v>4586</v>
      </c>
      <c r="K20" s="20">
        <f>SUM(H20:J20)</f>
        <v>21349</v>
      </c>
      <c r="L20" s="18"/>
      <c r="M20" s="18"/>
    </row>
    <row r="21" spans="1:1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>
      <c r="A22" s="1"/>
      <c r="B22" s="1"/>
      <c r="C22" s="21" t="s">
        <v>45</v>
      </c>
      <c r="D22" s="1"/>
      <c r="E22" s="1"/>
      <c r="F22" s="11"/>
      <c r="G22" s="1"/>
      <c r="H22" s="1"/>
      <c r="I22" s="7"/>
      <c r="J22" s="11"/>
      <c r="K22" s="7"/>
      <c r="L22" s="1"/>
      <c r="M22" s="1"/>
    </row>
    <row r="23" spans="1:13">
      <c r="A23" s="1"/>
      <c r="B23" s="1"/>
      <c r="C23" s="1"/>
      <c r="D23" s="1"/>
      <c r="E23" s="1"/>
      <c r="F23" s="1"/>
      <c r="G23" s="1"/>
      <c r="H23" s="1"/>
      <c r="I23" s="1"/>
      <c r="J23" s="1"/>
      <c r="K23" s="7"/>
      <c r="L23" s="1"/>
      <c r="M23" s="1"/>
    </row>
    <row r="24" spans="1:13">
      <c r="A24" s="21" t="s">
        <v>46</v>
      </c>
      <c r="B24" s="21"/>
      <c r="C24" s="21"/>
      <c r="D24" s="21"/>
      <c r="E24" s="21"/>
      <c r="F24" s="21"/>
      <c r="G24" s="21"/>
      <c r="H24" s="1"/>
      <c r="I24" s="1"/>
      <c r="J24" s="1"/>
      <c r="K24" s="1"/>
      <c r="L24" s="1"/>
      <c r="M24" s="1"/>
    </row>
    <row r="25" spans="1:13">
      <c r="A25" s="260" t="s">
        <v>47</v>
      </c>
      <c r="B25" s="260"/>
      <c r="C25" s="260"/>
      <c r="D25" s="260" t="s">
        <v>48</v>
      </c>
      <c r="E25" s="260" t="s">
        <v>49</v>
      </c>
      <c r="F25" s="260"/>
      <c r="G25" s="260" t="s">
        <v>89</v>
      </c>
      <c r="H25" s="1"/>
      <c r="I25" s="1"/>
      <c r="J25" s="1"/>
      <c r="K25" s="45"/>
      <c r="L25" s="1"/>
      <c r="M25" s="1"/>
    </row>
    <row r="26" spans="1:13">
      <c r="A26" s="21" t="s">
        <v>53</v>
      </c>
      <c r="B26" s="21"/>
      <c r="C26" s="21"/>
      <c r="D26" s="21"/>
      <c r="E26" s="21"/>
      <c r="F26" s="21"/>
      <c r="G26" s="21"/>
      <c r="H26" s="1"/>
      <c r="I26" s="1"/>
      <c r="J26" s="25" t="s">
        <v>51</v>
      </c>
      <c r="K26" s="284" t="s">
        <v>52</v>
      </c>
      <c r="L26" s="1"/>
      <c r="M26" s="1"/>
    </row>
    <row r="27" spans="1:13">
      <c r="A27" s="1" t="s">
        <v>55</v>
      </c>
      <c r="B27" s="1"/>
      <c r="C27" s="1"/>
      <c r="D27" s="117" t="s">
        <v>66</v>
      </c>
      <c r="E27" s="7">
        <v>13.1</v>
      </c>
      <c r="F27" s="7"/>
      <c r="G27" s="7">
        <v>276</v>
      </c>
      <c r="H27" s="1"/>
      <c r="I27" s="1"/>
      <c r="J27" s="46" t="s">
        <v>137</v>
      </c>
      <c r="K27" s="285">
        <v>84</v>
      </c>
      <c r="L27" s="1"/>
      <c r="M27" s="1"/>
    </row>
    <row r="28" spans="1:13">
      <c r="A28" s="1"/>
      <c r="B28" s="1"/>
      <c r="C28" s="1"/>
      <c r="D28" s="1"/>
      <c r="E28" s="1"/>
      <c r="F28" s="1"/>
      <c r="G28" s="1"/>
      <c r="H28" s="1"/>
      <c r="I28" s="1"/>
      <c r="J28" s="49" t="s">
        <v>138</v>
      </c>
      <c r="K28" s="286">
        <v>16</v>
      </c>
      <c r="L28" s="1"/>
      <c r="M28" s="1"/>
    </row>
    <row r="29" spans="1:1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>
      <c r="A30" s="21" t="s">
        <v>57</v>
      </c>
      <c r="B30" s="1"/>
      <c r="C30" s="1"/>
      <c r="D30" s="1"/>
      <c r="E30" s="1"/>
      <c r="F30" s="1"/>
      <c r="G30" s="1"/>
      <c r="H30" s="1"/>
      <c r="I30" s="1"/>
      <c r="J30" s="46" t="s">
        <v>60</v>
      </c>
      <c r="K30" s="71">
        <v>1.7</v>
      </c>
      <c r="L30" s="1"/>
      <c r="M30" s="1"/>
    </row>
    <row r="31" spans="1:13">
      <c r="A31" s="1" t="s">
        <v>336</v>
      </c>
      <c r="B31" s="1"/>
      <c r="C31" s="1"/>
      <c r="D31" s="26" t="s">
        <v>59</v>
      </c>
      <c r="E31" s="7">
        <v>9</v>
      </c>
      <c r="F31" s="1"/>
      <c r="G31" s="7">
        <v>1251</v>
      </c>
      <c r="H31" s="1"/>
      <c r="I31" s="1"/>
      <c r="J31" s="49" t="s">
        <v>62</v>
      </c>
      <c r="K31" s="72">
        <v>1</v>
      </c>
      <c r="L31" s="1"/>
      <c r="M31" s="1"/>
    </row>
    <row r="32" spans="1:13">
      <c r="A32" s="1" t="s">
        <v>337</v>
      </c>
      <c r="B32" s="1"/>
      <c r="C32" s="1"/>
      <c r="D32" s="26" t="s">
        <v>59</v>
      </c>
      <c r="E32" s="7">
        <v>13</v>
      </c>
      <c r="F32" s="1"/>
      <c r="G32" s="1"/>
      <c r="H32" s="1"/>
      <c r="I32" s="1"/>
      <c r="J32" s="1"/>
      <c r="K32" s="1"/>
      <c r="L32" s="1"/>
      <c r="M32" s="1"/>
    </row>
    <row r="33" spans="1:13">
      <c r="A33" s="1" t="s">
        <v>6</v>
      </c>
      <c r="B33" s="1"/>
      <c r="C33" s="1"/>
      <c r="D33" s="1"/>
      <c r="E33" s="7">
        <f>+E32+E31</f>
        <v>22</v>
      </c>
      <c r="F33" s="1"/>
      <c r="G33" s="1"/>
      <c r="H33" s="1"/>
      <c r="I33" s="1"/>
      <c r="J33" s="1"/>
      <c r="K33" s="29"/>
      <c r="L33" s="1"/>
      <c r="M33" s="1"/>
    </row>
    <row r="34" spans="1: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262" t="s">
        <v>70</v>
      </c>
      <c r="B35" s="15"/>
      <c r="C35" s="15"/>
      <c r="D35" s="15"/>
      <c r="E35" s="15"/>
      <c r="F35" s="15"/>
      <c r="G35" s="255" t="s">
        <v>340</v>
      </c>
      <c r="H35" s="266"/>
      <c r="I35" s="266"/>
      <c r="J35" s="266" t="s">
        <v>341</v>
      </c>
      <c r="K35" s="1"/>
      <c r="L35" s="1"/>
      <c r="M35" s="1"/>
    </row>
    <row r="36" spans="1:13">
      <c r="A36" s="27" t="s">
        <v>342</v>
      </c>
      <c r="B36" s="27"/>
      <c r="C36" s="27"/>
      <c r="D36" s="27"/>
      <c r="E36" s="27"/>
      <c r="F36" s="27"/>
      <c r="G36" s="55">
        <v>264</v>
      </c>
      <c r="H36" s="1"/>
      <c r="I36" s="1"/>
      <c r="J36" s="7">
        <v>652</v>
      </c>
      <c r="K36" s="11"/>
      <c r="L36" s="1"/>
      <c r="M36" s="1"/>
    </row>
    <row r="37" spans="1:13">
      <c r="A37" s="27" t="s">
        <v>343</v>
      </c>
      <c r="B37" s="27"/>
      <c r="C37" s="27"/>
      <c r="D37" s="27"/>
      <c r="E37" s="27"/>
      <c r="F37" s="27"/>
      <c r="G37" s="56">
        <v>174</v>
      </c>
      <c r="H37" s="1"/>
      <c r="I37" s="1"/>
      <c r="J37" s="7"/>
      <c r="K37" s="11"/>
      <c r="L37" s="1"/>
      <c r="M37" s="1"/>
    </row>
    <row r="38" spans="1:13">
      <c r="A38" s="27" t="s">
        <v>380</v>
      </c>
      <c r="B38" s="27"/>
      <c r="C38" s="27"/>
      <c r="D38" s="27"/>
      <c r="E38" s="27"/>
      <c r="F38" s="27"/>
      <c r="G38" s="56">
        <f>+G37*G36</f>
        <v>45936</v>
      </c>
      <c r="H38" s="1"/>
      <c r="I38" s="1"/>
      <c r="J38" s="7">
        <v>113508</v>
      </c>
      <c r="K38" s="11"/>
      <c r="L38" s="1"/>
      <c r="M38" s="1"/>
    </row>
    <row r="39" spans="1:13">
      <c r="A39" s="27" t="s">
        <v>361</v>
      </c>
      <c r="B39" s="27"/>
      <c r="C39" s="27"/>
      <c r="D39" s="27"/>
      <c r="E39" s="27"/>
      <c r="F39" s="27"/>
      <c r="G39" s="56">
        <f>+G38-K19</f>
        <v>7878</v>
      </c>
      <c r="H39" s="1"/>
      <c r="I39" s="1"/>
      <c r="J39" s="7">
        <v>19467</v>
      </c>
      <c r="K39" s="11"/>
      <c r="L39" s="1"/>
      <c r="M39" s="1"/>
    </row>
    <row r="40" spans="1:13">
      <c r="A40" s="27" t="s">
        <v>362</v>
      </c>
      <c r="B40" s="27"/>
      <c r="C40" s="27"/>
      <c r="D40" s="27"/>
      <c r="E40" s="27"/>
      <c r="F40" s="27"/>
      <c r="G40" s="56">
        <f>+G38-K20</f>
        <v>24587</v>
      </c>
      <c r="H40" s="1"/>
      <c r="I40" s="1"/>
      <c r="J40" s="7">
        <v>60754</v>
      </c>
      <c r="K40" s="11"/>
      <c r="L40" s="1"/>
      <c r="M40" s="1"/>
    </row>
    <row r="41" spans="1:13">
      <c r="A41" s="27"/>
      <c r="B41" s="27"/>
      <c r="C41" s="27"/>
      <c r="D41" s="27"/>
      <c r="E41" s="27"/>
      <c r="F41" s="27"/>
      <c r="G41" s="56"/>
      <c r="H41" s="1"/>
      <c r="I41" s="1"/>
      <c r="J41" s="1"/>
      <c r="K41" s="1"/>
      <c r="L41" s="1"/>
      <c r="M41" s="1"/>
    </row>
    <row r="42" spans="1:13">
      <c r="A42" s="27" t="s">
        <v>347</v>
      </c>
      <c r="B42" s="27"/>
      <c r="C42" s="27"/>
      <c r="D42" s="27"/>
      <c r="E42" s="27"/>
      <c r="F42" s="27"/>
      <c r="G42" s="56">
        <f>+K19/G36</f>
        <v>144.15909090909091</v>
      </c>
      <c r="H42" s="1"/>
      <c r="I42" s="1"/>
      <c r="J42" s="1"/>
      <c r="K42" s="1"/>
      <c r="L42" s="1"/>
      <c r="M42" s="1"/>
    </row>
    <row r="43" spans="1:13">
      <c r="A43" s="18" t="s">
        <v>348</v>
      </c>
      <c r="B43" s="18"/>
      <c r="C43" s="18"/>
      <c r="D43" s="18"/>
      <c r="E43" s="18"/>
      <c r="F43" s="18"/>
      <c r="G43" s="57">
        <f>+K20/G36</f>
        <v>80.867424242424249</v>
      </c>
      <c r="H43" s="1"/>
      <c r="I43" s="1"/>
      <c r="J43" s="1"/>
      <c r="K43" s="1"/>
      <c r="L43" s="1"/>
      <c r="M43" s="1"/>
    </row>
    <row r="44" spans="1:1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N54"/>
  <sheetViews>
    <sheetView topLeftCell="A19" workbookViewId="0">
      <selection activeCell="N33" sqref="N33"/>
    </sheetView>
  </sheetViews>
  <sheetFormatPr defaultRowHeight="15"/>
  <cols>
    <col min="7" max="7" width="10.140625" customWidth="1"/>
    <col min="13" max="13" width="8" customWidth="1"/>
  </cols>
  <sheetData>
    <row r="2" spans="1:14">
      <c r="A2" s="88" t="s">
        <v>0</v>
      </c>
      <c r="B2" s="88" t="s">
        <v>318</v>
      </c>
      <c r="C2" s="76"/>
      <c r="D2" s="76"/>
      <c r="E2" s="76"/>
      <c r="F2" s="76"/>
      <c r="G2" s="76"/>
      <c r="H2" s="76"/>
      <c r="I2" s="76"/>
      <c r="J2" s="88" t="s">
        <v>81</v>
      </c>
      <c r="K2" s="76"/>
      <c r="L2" s="76"/>
      <c r="M2" s="76"/>
      <c r="N2" s="76"/>
    </row>
    <row r="3" spans="1:14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</row>
    <row r="4" spans="1:14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</row>
    <row r="5" spans="1:14">
      <c r="A5" s="232" t="s">
        <v>4</v>
      </c>
      <c r="B5" s="77"/>
      <c r="C5" s="77"/>
      <c r="D5" s="233" t="s">
        <v>5</v>
      </c>
      <c r="E5" s="233" t="s">
        <v>6</v>
      </c>
      <c r="F5" s="233" t="s">
        <v>7</v>
      </c>
      <c r="G5" s="233" t="s">
        <v>8</v>
      </c>
      <c r="H5" s="233" t="s">
        <v>9</v>
      </c>
      <c r="I5" s="233" t="s">
        <v>10</v>
      </c>
      <c r="J5" s="233" t="s">
        <v>11</v>
      </c>
      <c r="K5" s="233" t="s">
        <v>12</v>
      </c>
      <c r="L5" s="327" t="s">
        <v>319</v>
      </c>
      <c r="M5" s="327"/>
      <c r="N5" s="76"/>
    </row>
    <row r="6" spans="1:14">
      <c r="A6" s="78"/>
      <c r="B6" s="78"/>
      <c r="C6" s="78"/>
      <c r="D6" s="234" t="s">
        <v>320</v>
      </c>
      <c r="E6" s="234" t="s">
        <v>321</v>
      </c>
      <c r="F6" s="234" t="s">
        <v>321</v>
      </c>
      <c r="G6" s="234" t="s">
        <v>322</v>
      </c>
      <c r="H6" s="234" t="s">
        <v>323</v>
      </c>
      <c r="I6" s="234" t="s">
        <v>324</v>
      </c>
      <c r="J6" s="234" t="s">
        <v>325</v>
      </c>
      <c r="K6" s="234" t="s">
        <v>325</v>
      </c>
      <c r="L6" s="234" t="s">
        <v>326</v>
      </c>
      <c r="M6" s="234" t="s">
        <v>327</v>
      </c>
      <c r="N6" s="76"/>
    </row>
    <row r="7" spans="1:14">
      <c r="A7" s="79"/>
      <c r="B7" s="79"/>
      <c r="C7" s="79"/>
      <c r="D7" s="235" t="s">
        <v>21</v>
      </c>
      <c r="E7" s="235"/>
      <c r="F7" s="235"/>
      <c r="G7" s="235"/>
      <c r="H7" s="235" t="s">
        <v>22</v>
      </c>
      <c r="I7" s="235" t="s">
        <v>328</v>
      </c>
      <c r="J7" s="235" t="s">
        <v>22</v>
      </c>
      <c r="K7" s="235" t="s">
        <v>22</v>
      </c>
      <c r="L7" s="235"/>
      <c r="M7" s="235"/>
      <c r="N7" s="76"/>
    </row>
    <row r="8" spans="1:14">
      <c r="A8" s="76" t="s">
        <v>23</v>
      </c>
      <c r="B8" s="76"/>
      <c r="C8" s="76"/>
      <c r="D8" s="80">
        <v>100</v>
      </c>
      <c r="E8" s="83">
        <v>7.9</v>
      </c>
      <c r="F8" s="83">
        <v>7.6</v>
      </c>
      <c r="G8" s="82">
        <v>1181</v>
      </c>
      <c r="H8" s="83">
        <v>9330</v>
      </c>
      <c r="I8" s="83"/>
      <c r="J8" s="83">
        <v>1506</v>
      </c>
      <c r="K8" s="83">
        <f>+J8+I8+H8</f>
        <v>10836</v>
      </c>
      <c r="L8" s="76"/>
      <c r="M8" s="76"/>
      <c r="N8" s="87"/>
    </row>
    <row r="9" spans="1:14">
      <c r="A9" s="76" t="s">
        <v>94</v>
      </c>
      <c r="B9" s="76"/>
      <c r="C9" s="76"/>
      <c r="D9" s="84">
        <v>53</v>
      </c>
      <c r="E9" s="90">
        <v>2.4</v>
      </c>
      <c r="F9" s="90">
        <v>1.8</v>
      </c>
      <c r="G9" s="85">
        <v>1471</v>
      </c>
      <c r="H9" s="83">
        <v>3530</v>
      </c>
      <c r="I9" s="83"/>
      <c r="J9" s="83"/>
      <c r="K9" s="83">
        <f t="shared" ref="K9:K22" si="0">+J9+I9+H9</f>
        <v>3530</v>
      </c>
      <c r="L9" s="76"/>
      <c r="M9" s="76"/>
      <c r="N9" s="87"/>
    </row>
    <row r="10" spans="1:14">
      <c r="A10" s="76" t="s">
        <v>329</v>
      </c>
      <c r="B10" s="76"/>
      <c r="C10" s="76"/>
      <c r="D10" s="80">
        <v>73</v>
      </c>
      <c r="E10" s="83">
        <v>1.2</v>
      </c>
      <c r="F10" s="83">
        <v>1.2</v>
      </c>
      <c r="G10" s="82">
        <v>1181</v>
      </c>
      <c r="H10" s="83">
        <v>1417</v>
      </c>
      <c r="I10" s="83">
        <v>10840</v>
      </c>
      <c r="J10" s="83"/>
      <c r="K10" s="83">
        <f t="shared" si="0"/>
        <v>12257</v>
      </c>
      <c r="L10" s="83">
        <v>1459</v>
      </c>
      <c r="M10" s="81"/>
      <c r="N10" s="87"/>
    </row>
    <row r="11" spans="1:14">
      <c r="A11" s="86" t="s">
        <v>26</v>
      </c>
      <c r="B11" s="76"/>
      <c r="C11" s="76"/>
      <c r="D11" s="236" t="s">
        <v>27</v>
      </c>
      <c r="E11" s="237" t="s">
        <v>28</v>
      </c>
      <c r="F11" s="237" t="s">
        <v>28</v>
      </c>
      <c r="G11" s="238" t="s">
        <v>229</v>
      </c>
      <c r="H11" s="237" t="s">
        <v>230</v>
      </c>
      <c r="I11" s="237" t="s">
        <v>29</v>
      </c>
      <c r="J11" s="83"/>
      <c r="K11" s="83"/>
      <c r="L11" s="81"/>
      <c r="M11" s="81"/>
      <c r="N11" s="87"/>
    </row>
    <row r="12" spans="1:14">
      <c r="A12" s="86" t="s">
        <v>30</v>
      </c>
      <c r="B12" s="76"/>
      <c r="C12" s="76"/>
      <c r="D12" s="236" t="s">
        <v>188</v>
      </c>
      <c r="E12" s="237" t="s">
        <v>32</v>
      </c>
      <c r="F12" s="237" t="s">
        <v>32</v>
      </c>
      <c r="G12" s="238" t="s">
        <v>229</v>
      </c>
      <c r="H12" s="237" t="s">
        <v>231</v>
      </c>
      <c r="I12" s="237" t="s">
        <v>33</v>
      </c>
      <c r="J12" s="83"/>
      <c r="K12" s="83"/>
      <c r="L12" s="81"/>
      <c r="M12" s="81"/>
      <c r="N12" s="87"/>
    </row>
    <row r="13" spans="1:14">
      <c r="A13" s="86" t="s">
        <v>34</v>
      </c>
      <c r="B13" s="76"/>
      <c r="C13" s="76"/>
      <c r="D13" s="84">
        <v>100</v>
      </c>
      <c r="E13" s="90">
        <v>16.899999999999999</v>
      </c>
      <c r="F13" s="90">
        <v>2.7</v>
      </c>
      <c r="G13" s="85">
        <v>1431</v>
      </c>
      <c r="H13" s="83">
        <v>24184</v>
      </c>
      <c r="I13" s="90"/>
      <c r="J13" s="83"/>
      <c r="K13" s="83">
        <f t="shared" si="0"/>
        <v>24184</v>
      </c>
      <c r="L13" s="81"/>
      <c r="M13" s="81"/>
      <c r="N13" s="87"/>
    </row>
    <row r="14" spans="1:14">
      <c r="A14" s="76" t="s">
        <v>35</v>
      </c>
      <c r="B14" s="76"/>
      <c r="C14" s="76"/>
      <c r="D14" s="80">
        <v>100</v>
      </c>
      <c r="E14" s="83">
        <v>25.8</v>
      </c>
      <c r="F14" s="83">
        <v>1.7</v>
      </c>
      <c r="G14" s="82">
        <v>993</v>
      </c>
      <c r="H14" s="83">
        <v>25619</v>
      </c>
      <c r="I14" s="83"/>
      <c r="J14" s="83">
        <f>+G31*E31</f>
        <v>24770</v>
      </c>
      <c r="K14" s="83">
        <f t="shared" si="0"/>
        <v>50389</v>
      </c>
      <c r="L14" s="81"/>
      <c r="M14" s="83">
        <v>19604</v>
      </c>
      <c r="N14" s="87"/>
    </row>
    <row r="15" spans="1:14">
      <c r="A15" s="76" t="s">
        <v>86</v>
      </c>
      <c r="B15" s="76"/>
      <c r="C15" s="76"/>
      <c r="D15" s="80">
        <v>100</v>
      </c>
      <c r="E15" s="83">
        <v>5.4</v>
      </c>
      <c r="F15" s="83">
        <v>5</v>
      </c>
      <c r="G15" s="82">
        <v>1200</v>
      </c>
      <c r="H15" s="83">
        <v>6480</v>
      </c>
      <c r="I15" s="83"/>
      <c r="J15" s="83">
        <v>10781</v>
      </c>
      <c r="K15" s="83">
        <f t="shared" si="0"/>
        <v>17261</v>
      </c>
      <c r="L15" s="81"/>
      <c r="M15" s="81"/>
      <c r="N15" s="87"/>
    </row>
    <row r="16" spans="1:14">
      <c r="A16" s="76" t="s">
        <v>37</v>
      </c>
      <c r="B16" s="76"/>
      <c r="C16" s="76"/>
      <c r="D16" s="80">
        <v>83</v>
      </c>
      <c r="E16" s="83">
        <v>10.4</v>
      </c>
      <c r="F16" s="83">
        <v>2.6</v>
      </c>
      <c r="G16" s="82">
        <v>976</v>
      </c>
      <c r="H16" s="83">
        <v>10150</v>
      </c>
      <c r="I16" s="83"/>
      <c r="J16" s="83"/>
      <c r="K16" s="83">
        <f t="shared" si="0"/>
        <v>10150</v>
      </c>
      <c r="L16" s="81"/>
      <c r="M16" s="81"/>
      <c r="N16" s="87"/>
    </row>
    <row r="17" spans="1:14">
      <c r="A17" s="76" t="s">
        <v>330</v>
      </c>
      <c r="B17" s="76"/>
      <c r="C17" s="76"/>
      <c r="D17" s="80">
        <v>93</v>
      </c>
      <c r="E17" s="83">
        <v>1.3</v>
      </c>
      <c r="F17" s="83">
        <v>1.1000000000000001</v>
      </c>
      <c r="G17" s="82">
        <v>1462</v>
      </c>
      <c r="H17" s="83">
        <v>1901</v>
      </c>
      <c r="I17" s="83"/>
      <c r="J17" s="83">
        <v>4339</v>
      </c>
      <c r="K17" s="83">
        <f t="shared" si="0"/>
        <v>6240</v>
      </c>
      <c r="L17" s="81"/>
      <c r="M17" s="81"/>
      <c r="N17" s="87"/>
    </row>
    <row r="18" spans="1:14">
      <c r="A18" s="76" t="s">
        <v>134</v>
      </c>
      <c r="B18" s="76"/>
      <c r="C18" s="76"/>
      <c r="D18" s="80">
        <v>100</v>
      </c>
      <c r="E18" s="83">
        <v>5.9</v>
      </c>
      <c r="F18" s="83">
        <v>5.5</v>
      </c>
      <c r="G18" s="82">
        <v>1462</v>
      </c>
      <c r="H18" s="83">
        <v>8626</v>
      </c>
      <c r="I18" s="83"/>
      <c r="J18" s="83">
        <v>13158</v>
      </c>
      <c r="K18" s="83">
        <f t="shared" si="0"/>
        <v>21784</v>
      </c>
      <c r="L18" s="81"/>
      <c r="M18" s="81"/>
      <c r="N18" s="87"/>
    </row>
    <row r="19" spans="1:14">
      <c r="A19" s="76" t="s">
        <v>331</v>
      </c>
      <c r="B19" s="76"/>
      <c r="C19" s="76"/>
      <c r="D19" s="80">
        <v>100</v>
      </c>
      <c r="E19" s="83">
        <v>17.2</v>
      </c>
      <c r="F19" s="83">
        <v>17.2</v>
      </c>
      <c r="G19" s="82">
        <v>1200</v>
      </c>
      <c r="H19" s="83">
        <v>20640</v>
      </c>
      <c r="I19" s="83">
        <v>14452</v>
      </c>
      <c r="J19" s="83"/>
      <c r="K19" s="83">
        <f t="shared" si="0"/>
        <v>35092</v>
      </c>
      <c r="L19" s="81"/>
      <c r="M19" s="81"/>
      <c r="N19" s="87"/>
    </row>
    <row r="20" spans="1:14">
      <c r="A20" s="76" t="s">
        <v>332</v>
      </c>
      <c r="B20" s="76"/>
      <c r="C20" s="76"/>
      <c r="D20" s="80">
        <v>100</v>
      </c>
      <c r="E20" s="83">
        <v>17.5</v>
      </c>
      <c r="F20" s="83">
        <v>2.8</v>
      </c>
      <c r="G20" s="82">
        <v>1179</v>
      </c>
      <c r="H20" s="83">
        <v>20633</v>
      </c>
      <c r="I20" s="83"/>
      <c r="J20" s="83"/>
      <c r="K20" s="83">
        <f t="shared" si="0"/>
        <v>20633</v>
      </c>
      <c r="L20" s="81"/>
      <c r="M20" s="81"/>
      <c r="N20" s="87"/>
    </row>
    <row r="21" spans="1:14">
      <c r="A21" s="76" t="s">
        <v>41</v>
      </c>
      <c r="B21" s="76"/>
      <c r="C21" s="76"/>
      <c r="D21" s="239">
        <v>100</v>
      </c>
      <c r="E21" s="83">
        <v>12.2</v>
      </c>
      <c r="F21" s="83">
        <v>1.5</v>
      </c>
      <c r="G21" s="83">
        <v>1179</v>
      </c>
      <c r="H21" s="83">
        <v>14384</v>
      </c>
      <c r="I21" s="83"/>
      <c r="J21" s="83"/>
      <c r="K21" s="83">
        <f t="shared" si="0"/>
        <v>14384</v>
      </c>
      <c r="L21" s="81"/>
      <c r="M21" s="81"/>
      <c r="N21" s="87"/>
    </row>
    <row r="22" spans="1:14">
      <c r="A22" s="76" t="s">
        <v>42</v>
      </c>
      <c r="B22" s="76"/>
      <c r="C22" s="76"/>
      <c r="D22" s="80">
        <v>100</v>
      </c>
      <c r="E22" s="83">
        <v>1.9</v>
      </c>
      <c r="F22" s="83">
        <v>1.7</v>
      </c>
      <c r="G22" s="82">
        <v>1200</v>
      </c>
      <c r="H22" s="83">
        <v>2280</v>
      </c>
      <c r="I22" s="83">
        <v>4347</v>
      </c>
      <c r="J22" s="83"/>
      <c r="K22" s="83">
        <f t="shared" si="0"/>
        <v>6627</v>
      </c>
      <c r="L22" s="83">
        <v>348</v>
      </c>
      <c r="M22" s="83"/>
      <c r="N22" s="87"/>
    </row>
    <row r="23" spans="1:14">
      <c r="A23" s="91" t="s">
        <v>333</v>
      </c>
      <c r="B23" s="91"/>
      <c r="C23" s="91"/>
      <c r="D23" s="92"/>
      <c r="E23" s="93">
        <f>SUM(E8:E22)</f>
        <v>126.00000000000001</v>
      </c>
      <c r="F23" s="93">
        <f>SUM(F8:F22)</f>
        <v>52.400000000000006</v>
      </c>
      <c r="G23" s="93"/>
      <c r="H23" s="93">
        <f t="shared" ref="H23:M23" si="1">SUM(H8:H22)</f>
        <v>149174</v>
      </c>
      <c r="I23" s="93">
        <f t="shared" si="1"/>
        <v>29639</v>
      </c>
      <c r="J23" s="93">
        <f t="shared" si="1"/>
        <v>54554</v>
      </c>
      <c r="K23" s="93">
        <f t="shared" si="1"/>
        <v>233367</v>
      </c>
      <c r="L23" s="93">
        <f t="shared" si="1"/>
        <v>1807</v>
      </c>
      <c r="M23" s="93">
        <f t="shared" si="1"/>
        <v>19604</v>
      </c>
      <c r="N23" s="76"/>
    </row>
    <row r="24" spans="1:14">
      <c r="A24" s="94" t="s">
        <v>334</v>
      </c>
      <c r="B24" s="94"/>
      <c r="C24" s="94"/>
      <c r="D24" s="95"/>
      <c r="E24" s="96">
        <f>SUM(E23-F23)</f>
        <v>73.600000000000009</v>
      </c>
      <c r="F24" s="96"/>
      <c r="G24" s="96"/>
      <c r="H24" s="96">
        <f>SUM(E34*G34)</f>
        <v>87616</v>
      </c>
      <c r="I24" s="96">
        <f>I23-L23</f>
        <v>27832</v>
      </c>
      <c r="J24" s="96">
        <f>J23-M23</f>
        <v>34950</v>
      </c>
      <c r="K24" s="96">
        <f>SUM(H24:J24)</f>
        <v>150398</v>
      </c>
      <c r="L24" s="240"/>
      <c r="M24" s="240"/>
      <c r="N24" s="76"/>
    </row>
    <row r="25" spans="1:14">
      <c r="A25" s="88" t="s">
        <v>232</v>
      </c>
      <c r="B25" s="76"/>
      <c r="C25" s="76"/>
      <c r="D25" s="76"/>
      <c r="E25" s="76"/>
      <c r="F25" s="76"/>
      <c r="G25" s="83"/>
      <c r="H25" s="83"/>
      <c r="I25" s="83"/>
      <c r="J25" s="83"/>
      <c r="K25" s="83"/>
      <c r="L25" s="76"/>
      <c r="M25" s="76"/>
      <c r="N25" s="76"/>
    </row>
    <row r="26" spans="1:14">
      <c r="A26" s="76"/>
      <c r="B26" s="76"/>
      <c r="C26" s="88" t="s">
        <v>45</v>
      </c>
      <c r="D26" s="76"/>
      <c r="E26" s="76"/>
      <c r="F26" s="76"/>
      <c r="G26" s="76"/>
      <c r="H26" s="87"/>
      <c r="I26" s="81"/>
      <c r="J26" s="81"/>
      <c r="K26" s="81"/>
      <c r="L26" s="76"/>
      <c r="M26" s="76"/>
      <c r="N26" s="76"/>
    </row>
    <row r="27" spans="1:14">
      <c r="A27" s="76"/>
      <c r="B27" s="76"/>
      <c r="C27" s="76"/>
      <c r="D27" s="76"/>
      <c r="E27" s="76"/>
      <c r="F27" s="76"/>
      <c r="G27" s="76"/>
      <c r="H27" s="87"/>
      <c r="I27" s="87"/>
      <c r="J27" s="87"/>
      <c r="K27" s="87"/>
      <c r="L27" s="76"/>
      <c r="M27" s="76"/>
      <c r="N27" s="76"/>
    </row>
    <row r="28" spans="1:14">
      <c r="A28" s="88" t="s">
        <v>46</v>
      </c>
      <c r="B28" s="88"/>
      <c r="C28" s="88"/>
      <c r="D28" s="76"/>
      <c r="E28" s="76"/>
      <c r="F28" s="76"/>
      <c r="G28" s="76"/>
      <c r="H28" s="76"/>
      <c r="I28" s="76"/>
      <c r="J28" s="83"/>
      <c r="K28" s="76"/>
      <c r="L28" s="76"/>
      <c r="M28" s="76"/>
      <c r="N28" s="76"/>
    </row>
    <row r="29" spans="1:14">
      <c r="A29" s="241" t="s">
        <v>47</v>
      </c>
      <c r="B29" s="241"/>
      <c r="C29" s="241"/>
      <c r="D29" s="241" t="s">
        <v>48</v>
      </c>
      <c r="E29" s="241" t="s">
        <v>49</v>
      </c>
      <c r="F29" s="241"/>
      <c r="G29" s="241" t="s">
        <v>50</v>
      </c>
      <c r="H29" s="76"/>
      <c r="I29" s="114" t="s">
        <v>51</v>
      </c>
      <c r="J29" s="115" t="s">
        <v>52</v>
      </c>
      <c r="K29" s="76"/>
      <c r="L29" s="76"/>
      <c r="M29" s="76"/>
      <c r="N29" s="76"/>
    </row>
    <row r="30" spans="1:14">
      <c r="A30" s="76" t="s">
        <v>53</v>
      </c>
      <c r="B30" s="76"/>
      <c r="C30" s="76"/>
      <c r="D30" s="76"/>
      <c r="E30" s="76"/>
      <c r="F30" s="76"/>
      <c r="G30" s="76"/>
      <c r="H30" s="76"/>
      <c r="I30" s="242" t="s">
        <v>54</v>
      </c>
      <c r="J30" s="243">
        <v>100</v>
      </c>
      <c r="K30" s="76"/>
      <c r="L30" s="76"/>
      <c r="M30" s="76"/>
      <c r="N30" s="76"/>
    </row>
    <row r="31" spans="1:14">
      <c r="A31" s="76" t="s">
        <v>55</v>
      </c>
      <c r="B31" s="244" t="s">
        <v>335</v>
      </c>
      <c r="C31" s="76"/>
      <c r="D31" s="176" t="s">
        <v>66</v>
      </c>
      <c r="E31" s="83">
        <v>2.5</v>
      </c>
      <c r="F31" s="83"/>
      <c r="G31" s="83">
        <v>9908</v>
      </c>
      <c r="H31" s="76"/>
      <c r="I31" s="101"/>
      <c r="J31" s="102"/>
      <c r="K31" s="76"/>
      <c r="L31" s="76"/>
      <c r="M31" s="76"/>
      <c r="N31" s="76"/>
    </row>
    <row r="32" spans="1:14">
      <c r="A32" s="76"/>
      <c r="B32" s="76"/>
      <c r="C32" s="76"/>
      <c r="D32" s="176"/>
      <c r="E32" s="86"/>
      <c r="F32" s="76"/>
      <c r="G32" s="86"/>
      <c r="H32" s="76"/>
      <c r="I32" s="101"/>
      <c r="J32" s="102"/>
      <c r="K32" s="76"/>
      <c r="L32" s="76"/>
      <c r="M32" s="76"/>
      <c r="N32" s="76"/>
    </row>
    <row r="33" spans="1:14">
      <c r="A33" s="88" t="s">
        <v>57</v>
      </c>
      <c r="B33" s="76"/>
      <c r="C33" s="76"/>
      <c r="D33" s="176"/>
      <c r="E33" s="76"/>
      <c r="F33" s="76"/>
      <c r="G33" s="76"/>
      <c r="H33" s="76"/>
      <c r="I33" s="76"/>
      <c r="J33" s="76"/>
      <c r="K33" s="87"/>
      <c r="L33" s="76"/>
      <c r="M33" s="76"/>
      <c r="N33" s="76"/>
    </row>
    <row r="34" spans="1:14">
      <c r="A34" s="76" t="s">
        <v>336</v>
      </c>
      <c r="B34" s="76"/>
      <c r="C34" s="76"/>
      <c r="D34" s="176" t="s">
        <v>59</v>
      </c>
      <c r="E34" s="83">
        <v>74</v>
      </c>
      <c r="F34" s="87"/>
      <c r="G34" s="83">
        <v>1184</v>
      </c>
      <c r="H34" s="76"/>
      <c r="I34" s="91" t="s">
        <v>60</v>
      </c>
      <c r="J34" s="93">
        <v>1.1000000000000001</v>
      </c>
      <c r="K34" s="87"/>
      <c r="L34" s="76"/>
      <c r="M34" s="76"/>
      <c r="N34" s="76"/>
    </row>
    <row r="35" spans="1:14">
      <c r="A35" s="76" t="s">
        <v>337</v>
      </c>
      <c r="B35" s="76"/>
      <c r="C35" s="76"/>
      <c r="D35" s="176" t="s">
        <v>59</v>
      </c>
      <c r="E35" s="83">
        <v>52</v>
      </c>
      <c r="F35" s="87"/>
      <c r="G35" s="87"/>
      <c r="H35" s="76"/>
      <c r="I35" s="94" t="s">
        <v>62</v>
      </c>
      <c r="J35" s="96">
        <v>1.3</v>
      </c>
      <c r="K35" s="76"/>
      <c r="L35" s="76"/>
      <c r="M35" s="76"/>
      <c r="N35" s="76"/>
    </row>
    <row r="36" spans="1:14">
      <c r="A36" s="76" t="s">
        <v>6</v>
      </c>
      <c r="B36" s="76"/>
      <c r="C36" s="76"/>
      <c r="D36" s="76"/>
      <c r="E36" s="83">
        <f>SUM(E34:E35)</f>
        <v>126</v>
      </c>
      <c r="F36" s="87"/>
      <c r="G36" s="87"/>
      <c r="H36" s="76"/>
      <c r="I36" s="76"/>
      <c r="J36" s="76"/>
      <c r="K36" s="89"/>
      <c r="L36" s="76"/>
      <c r="M36" s="76"/>
      <c r="N36" s="76"/>
    </row>
    <row r="37" spans="1:14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</row>
    <row r="38" spans="1:14">
      <c r="A38" s="245" t="s">
        <v>63</v>
      </c>
      <c r="B38" s="91"/>
      <c r="C38" s="245" t="s">
        <v>338</v>
      </c>
      <c r="D38" s="245"/>
      <c r="E38" s="91"/>
      <c r="F38" s="91"/>
      <c r="G38" s="91"/>
      <c r="H38" s="76"/>
      <c r="I38" s="76"/>
      <c r="J38" s="76"/>
      <c r="K38" s="76"/>
      <c r="L38" s="76"/>
      <c r="M38" s="76"/>
      <c r="N38" s="76"/>
    </row>
    <row r="39" spans="1:14">
      <c r="A39" s="76"/>
      <c r="B39" s="78"/>
      <c r="C39" s="246" t="s">
        <v>339</v>
      </c>
      <c r="D39" s="101"/>
      <c r="E39" s="101"/>
      <c r="F39" s="101"/>
      <c r="G39" s="101"/>
      <c r="H39" s="76"/>
      <c r="I39" s="76"/>
      <c r="J39" s="76"/>
      <c r="K39" s="76"/>
      <c r="L39" s="76"/>
      <c r="M39" s="76"/>
      <c r="N39" s="76"/>
    </row>
    <row r="40" spans="1:14">
      <c r="A40" s="101" t="s">
        <v>65</v>
      </c>
      <c r="B40" s="78"/>
      <c r="C40" s="104">
        <v>80</v>
      </c>
      <c r="D40" s="105" t="s">
        <v>66</v>
      </c>
      <c r="E40" s="247">
        <v>118</v>
      </c>
      <c r="F40" s="105"/>
      <c r="G40" s="247">
        <v>26</v>
      </c>
      <c r="H40" s="76"/>
      <c r="I40" s="76"/>
      <c r="J40" s="76"/>
      <c r="K40" s="76"/>
      <c r="L40" s="76"/>
      <c r="M40" s="76"/>
      <c r="N40" s="76"/>
    </row>
    <row r="41" spans="1:14">
      <c r="A41" s="101" t="s">
        <v>67</v>
      </c>
      <c r="B41" s="78"/>
      <c r="C41" s="104">
        <v>67</v>
      </c>
      <c r="D41" s="105" t="s">
        <v>66</v>
      </c>
      <c r="E41" s="248">
        <v>62</v>
      </c>
      <c r="F41" s="105"/>
      <c r="G41" s="248">
        <v>24</v>
      </c>
      <c r="H41" s="76"/>
      <c r="I41" s="76"/>
      <c r="J41" s="76"/>
      <c r="K41" s="76"/>
      <c r="L41" s="76"/>
      <c r="M41" s="76"/>
      <c r="N41" s="76"/>
    </row>
    <row r="42" spans="1:14">
      <c r="A42" s="101" t="s">
        <v>68</v>
      </c>
      <c r="B42" s="78"/>
      <c r="C42" s="104">
        <v>93</v>
      </c>
      <c r="D42" s="105" t="s">
        <v>66</v>
      </c>
      <c r="E42" s="248">
        <v>249</v>
      </c>
      <c r="F42" s="105"/>
      <c r="G42" s="248">
        <v>25</v>
      </c>
      <c r="H42" s="76"/>
      <c r="I42" s="76"/>
      <c r="J42" s="76"/>
      <c r="K42" s="76"/>
      <c r="L42" s="76"/>
      <c r="M42" s="76"/>
      <c r="N42" s="76"/>
    </row>
    <row r="43" spans="1:14">
      <c r="A43" s="76"/>
      <c r="B43" s="78"/>
      <c r="C43" s="104"/>
      <c r="D43" s="105"/>
      <c r="E43" s="247"/>
      <c r="F43" s="105"/>
      <c r="G43" s="247"/>
      <c r="H43" s="76"/>
      <c r="I43" s="76"/>
      <c r="J43" s="76"/>
      <c r="K43" s="76"/>
      <c r="L43" s="76"/>
      <c r="M43" s="76"/>
      <c r="N43" s="76"/>
    </row>
    <row r="44" spans="1:14">
      <c r="A44" s="245" t="s">
        <v>70</v>
      </c>
      <c r="B44" s="91"/>
      <c r="C44" s="91"/>
      <c r="D44" s="91"/>
      <c r="E44" s="91"/>
      <c r="F44" s="91"/>
      <c r="G44" s="233" t="s">
        <v>340</v>
      </c>
      <c r="H44" s="249"/>
      <c r="I44" s="249" t="s">
        <v>341</v>
      </c>
      <c r="J44" s="76"/>
      <c r="K44" s="76"/>
      <c r="L44" s="76"/>
      <c r="M44" s="76"/>
      <c r="N44" s="75"/>
    </row>
    <row r="45" spans="1:14">
      <c r="A45" s="101" t="s">
        <v>342</v>
      </c>
      <c r="B45" s="101"/>
      <c r="C45" s="101"/>
      <c r="D45" s="101"/>
      <c r="E45" s="101"/>
      <c r="F45" s="101"/>
      <c r="G45" s="250">
        <v>6918</v>
      </c>
      <c r="H45" s="76" t="s">
        <v>73</v>
      </c>
      <c r="I45" s="83">
        <v>17094</v>
      </c>
      <c r="J45" s="76"/>
      <c r="K45" s="87"/>
      <c r="L45" s="76"/>
      <c r="M45" s="76"/>
      <c r="N45" s="75"/>
    </row>
    <row r="46" spans="1:14">
      <c r="A46" s="101" t="s">
        <v>343</v>
      </c>
      <c r="B46" s="101"/>
      <c r="C46" s="101"/>
      <c r="D46" s="101"/>
      <c r="E46" s="101"/>
      <c r="F46" s="101"/>
      <c r="G46" s="251">
        <v>156</v>
      </c>
      <c r="H46" s="76"/>
      <c r="I46" s="83"/>
      <c r="J46" s="76"/>
      <c r="K46" s="87"/>
      <c r="L46" s="76"/>
      <c r="M46" s="76"/>
      <c r="N46" s="75"/>
    </row>
    <row r="47" spans="1:14">
      <c r="A47" s="101" t="s">
        <v>344</v>
      </c>
      <c r="B47" s="101"/>
      <c r="C47" s="101"/>
      <c r="D47" s="101"/>
      <c r="E47" s="101"/>
      <c r="F47" s="101"/>
      <c r="G47" s="251">
        <f>+G45*G46</f>
        <v>1079208</v>
      </c>
      <c r="H47" s="252"/>
      <c r="I47" s="83">
        <v>2666723</v>
      </c>
      <c r="J47" s="76"/>
      <c r="K47" s="87"/>
      <c r="L47" s="83"/>
      <c r="M47" s="76"/>
      <c r="N47" s="253"/>
    </row>
    <row r="48" spans="1:14">
      <c r="A48" s="101" t="s">
        <v>345</v>
      </c>
      <c r="B48" s="101"/>
      <c r="C48" s="101"/>
      <c r="D48" s="101"/>
      <c r="E48" s="101"/>
      <c r="F48" s="101"/>
      <c r="G48" s="251">
        <f>+G47-K23</f>
        <v>845841</v>
      </c>
      <c r="H48" s="110"/>
      <c r="I48" s="83">
        <v>2090073</v>
      </c>
      <c r="J48" s="76"/>
      <c r="K48" s="87"/>
      <c r="L48" s="76"/>
      <c r="M48" s="76"/>
      <c r="N48" s="75"/>
    </row>
    <row r="49" spans="1:14">
      <c r="A49" s="101" t="s">
        <v>346</v>
      </c>
      <c r="B49" s="101"/>
      <c r="C49" s="101"/>
      <c r="D49" s="101"/>
      <c r="E49" s="101"/>
      <c r="F49" s="101"/>
      <c r="G49" s="251">
        <f>+G47-K24</f>
        <v>928810</v>
      </c>
      <c r="H49" s="110"/>
      <c r="I49" s="83">
        <v>2295090</v>
      </c>
      <c r="J49" s="76"/>
      <c r="K49" s="87"/>
      <c r="L49" s="76"/>
      <c r="M49" s="76"/>
      <c r="N49" s="75"/>
    </row>
    <row r="50" spans="1:14">
      <c r="A50" s="101"/>
      <c r="B50" s="101"/>
      <c r="C50" s="101"/>
      <c r="D50" s="101"/>
      <c r="E50" s="101"/>
      <c r="F50" s="101"/>
      <c r="G50" s="251"/>
      <c r="H50" s="110"/>
      <c r="I50" s="110"/>
      <c r="J50" s="76"/>
      <c r="K50" s="76"/>
      <c r="L50" s="76"/>
      <c r="M50" s="76"/>
      <c r="N50" s="75"/>
    </row>
    <row r="51" spans="1:14">
      <c r="A51" s="101" t="s">
        <v>347</v>
      </c>
      <c r="B51" s="101"/>
      <c r="C51" s="101"/>
      <c r="D51" s="101"/>
      <c r="E51" s="101"/>
      <c r="F51" s="101"/>
      <c r="G51" s="251">
        <v>33.74</v>
      </c>
      <c r="H51" s="76"/>
      <c r="I51" s="76"/>
      <c r="J51" s="76"/>
      <c r="K51" s="76"/>
      <c r="L51" s="76"/>
      <c r="M51" s="76"/>
      <c r="N51" s="75"/>
    </row>
    <row r="52" spans="1:14">
      <c r="A52" s="94" t="s">
        <v>348</v>
      </c>
      <c r="B52" s="94"/>
      <c r="C52" s="94"/>
      <c r="D52" s="94"/>
      <c r="E52" s="94"/>
      <c r="F52" s="94"/>
      <c r="G52" s="254">
        <f>+K24/G45</f>
        <v>21.740098294304712</v>
      </c>
      <c r="H52" s="76"/>
      <c r="I52" s="76"/>
      <c r="J52" s="76"/>
      <c r="K52" s="76"/>
      <c r="L52" s="76"/>
      <c r="M52" s="76"/>
      <c r="N52" s="75"/>
    </row>
    <row r="53" spans="1:14">
      <c r="A53" s="76" t="s">
        <v>80</v>
      </c>
      <c r="B53" s="76"/>
      <c r="C53" s="76"/>
      <c r="D53" s="76"/>
      <c r="E53" s="76"/>
      <c r="F53" s="76"/>
      <c r="G53" s="176"/>
      <c r="H53" s="76"/>
      <c r="I53" s="76"/>
      <c r="J53" s="76"/>
      <c r="K53" s="76"/>
      <c r="L53" s="76"/>
      <c r="M53" s="76"/>
      <c r="N53" s="75"/>
    </row>
    <row r="54" spans="1:14">
      <c r="A54" s="16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5"/>
    </row>
  </sheetData>
  <mergeCells count="1">
    <mergeCell ref="L5:M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M50"/>
  <sheetViews>
    <sheetView topLeftCell="A19" workbookViewId="0">
      <selection activeCell="A4" sqref="A4:M50"/>
    </sheetView>
  </sheetViews>
  <sheetFormatPr defaultRowHeight="15"/>
  <cols>
    <col min="7" max="7" width="9.5703125" customWidth="1"/>
  </cols>
  <sheetData>
    <row r="3" spans="1:13">
      <c r="A3" s="121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</row>
    <row r="4" spans="1:13">
      <c r="A4" s="21" t="s">
        <v>0</v>
      </c>
      <c r="B4" s="21" t="s">
        <v>389</v>
      </c>
      <c r="C4" s="21"/>
      <c r="D4" s="21"/>
      <c r="E4" s="21"/>
      <c r="F4" s="21"/>
      <c r="G4" s="21"/>
      <c r="H4" s="21"/>
      <c r="I4" s="21"/>
      <c r="J4" s="21" t="s">
        <v>3</v>
      </c>
      <c r="K4" s="21"/>
      <c r="L4" s="1"/>
      <c r="M4" s="1"/>
    </row>
    <row r="5" spans="1:1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>
      <c r="A7" s="267" t="s">
        <v>4</v>
      </c>
      <c r="B7" s="267"/>
      <c r="C7" s="267"/>
      <c r="D7" s="255" t="s">
        <v>5</v>
      </c>
      <c r="E7" s="255" t="s">
        <v>6</v>
      </c>
      <c r="F7" s="255" t="s">
        <v>7</v>
      </c>
      <c r="G7" s="255" t="s">
        <v>8</v>
      </c>
      <c r="H7" s="255" t="s">
        <v>9</v>
      </c>
      <c r="I7" s="255" t="s">
        <v>10</v>
      </c>
      <c r="J7" s="255" t="s">
        <v>11</v>
      </c>
      <c r="K7" s="255" t="s">
        <v>12</v>
      </c>
      <c r="L7" s="255" t="s">
        <v>319</v>
      </c>
      <c r="M7" s="255"/>
    </row>
    <row r="8" spans="1:13">
      <c r="A8" s="268"/>
      <c r="B8" s="268"/>
      <c r="C8" s="268"/>
      <c r="D8" s="256" t="s">
        <v>320</v>
      </c>
      <c r="E8" s="256" t="s">
        <v>321</v>
      </c>
      <c r="F8" s="256" t="s">
        <v>321</v>
      </c>
      <c r="G8" s="256" t="s">
        <v>322</v>
      </c>
      <c r="H8" s="256" t="s">
        <v>323</v>
      </c>
      <c r="I8" s="256" t="s">
        <v>390</v>
      </c>
      <c r="J8" s="256" t="s">
        <v>323</v>
      </c>
      <c r="K8" s="256" t="s">
        <v>323</v>
      </c>
      <c r="L8" s="256" t="s">
        <v>326</v>
      </c>
      <c r="M8" s="256" t="s">
        <v>327</v>
      </c>
    </row>
    <row r="9" spans="1:13">
      <c r="A9" s="287"/>
      <c r="B9" s="287"/>
      <c r="C9" s="287"/>
      <c r="D9" s="257" t="s">
        <v>21</v>
      </c>
      <c r="E9" s="257"/>
      <c r="F9" s="257"/>
      <c r="G9" s="257"/>
      <c r="H9" s="257" t="s">
        <v>22</v>
      </c>
      <c r="I9" s="257" t="s">
        <v>378</v>
      </c>
      <c r="J9" s="257" t="s">
        <v>22</v>
      </c>
      <c r="K9" s="257" t="s">
        <v>22</v>
      </c>
      <c r="L9" s="257"/>
      <c r="M9" s="257"/>
    </row>
    <row r="10" spans="1:13">
      <c r="A10" s="1" t="s">
        <v>23</v>
      </c>
      <c r="B10" s="1"/>
      <c r="C10" s="1"/>
      <c r="D10" s="275">
        <v>100</v>
      </c>
      <c r="E10" s="288">
        <v>5.3</v>
      </c>
      <c r="F10" s="288">
        <v>5.3</v>
      </c>
      <c r="G10" s="277">
        <v>1100</v>
      </c>
      <c r="H10" s="117">
        <v>5830</v>
      </c>
      <c r="I10" s="26"/>
      <c r="J10" s="117">
        <v>1167</v>
      </c>
      <c r="K10" s="117">
        <f>+J10+I10+H10</f>
        <v>6997</v>
      </c>
      <c r="L10" s="26"/>
      <c r="M10" s="1"/>
    </row>
    <row r="11" spans="1:13">
      <c r="A11" s="1" t="s">
        <v>94</v>
      </c>
      <c r="B11" s="1"/>
      <c r="C11" s="1"/>
      <c r="D11" s="58" t="s">
        <v>391</v>
      </c>
      <c r="E11" s="289" t="s">
        <v>226</v>
      </c>
      <c r="F11" s="68" t="s">
        <v>226</v>
      </c>
      <c r="G11" s="67" t="s">
        <v>227</v>
      </c>
      <c r="H11" s="68" t="s">
        <v>228</v>
      </c>
      <c r="I11" s="26"/>
      <c r="J11" s="117"/>
      <c r="K11" s="117"/>
      <c r="L11" s="26"/>
      <c r="M11" s="1"/>
    </row>
    <row r="12" spans="1:13">
      <c r="A12" s="1" t="s">
        <v>392</v>
      </c>
      <c r="B12" s="1"/>
      <c r="C12" s="1"/>
      <c r="D12" s="275">
        <v>100</v>
      </c>
      <c r="E12" s="288">
        <v>1.3</v>
      </c>
      <c r="F12" s="288">
        <v>1.3</v>
      </c>
      <c r="G12" s="277">
        <v>1404</v>
      </c>
      <c r="H12" s="117">
        <v>1825</v>
      </c>
      <c r="I12" s="117">
        <v>6861</v>
      </c>
      <c r="J12" s="117"/>
      <c r="K12" s="117">
        <f t="shared" ref="K12:K19" si="0">+J12+I12+H12</f>
        <v>8686</v>
      </c>
      <c r="L12" s="117">
        <v>519</v>
      </c>
      <c r="M12" s="1"/>
    </row>
    <row r="13" spans="1:13">
      <c r="A13" s="12" t="s">
        <v>34</v>
      </c>
      <c r="B13" s="1"/>
      <c r="C13" s="1"/>
      <c r="D13" s="58">
        <v>100</v>
      </c>
      <c r="E13" s="66">
        <v>16</v>
      </c>
      <c r="F13" s="66">
        <v>7.8</v>
      </c>
      <c r="G13" s="67">
        <v>1404</v>
      </c>
      <c r="H13" s="117">
        <v>22464</v>
      </c>
      <c r="I13" s="48"/>
      <c r="J13" s="117"/>
      <c r="K13" s="117">
        <f t="shared" si="0"/>
        <v>22464</v>
      </c>
      <c r="L13" s="26"/>
      <c r="M13" s="1"/>
    </row>
    <row r="14" spans="1:13">
      <c r="A14" s="1" t="s">
        <v>35</v>
      </c>
      <c r="B14" s="1"/>
      <c r="C14" s="1"/>
      <c r="D14" s="275">
        <v>100</v>
      </c>
      <c r="E14" s="288">
        <v>13.1</v>
      </c>
      <c r="F14" s="288">
        <v>8.1</v>
      </c>
      <c r="G14" s="277">
        <v>1120</v>
      </c>
      <c r="H14" s="117">
        <v>14672</v>
      </c>
      <c r="I14" s="26"/>
      <c r="J14" s="117">
        <v>13568</v>
      </c>
      <c r="K14" s="117">
        <f t="shared" si="0"/>
        <v>28240</v>
      </c>
      <c r="L14" s="26"/>
      <c r="M14" s="7"/>
    </row>
    <row r="15" spans="1:13">
      <c r="A15" s="1" t="s">
        <v>86</v>
      </c>
      <c r="B15" s="1"/>
      <c r="C15" s="1"/>
      <c r="D15" s="275">
        <v>100</v>
      </c>
      <c r="E15" s="288">
        <v>11.4</v>
      </c>
      <c r="F15" s="288">
        <v>9</v>
      </c>
      <c r="G15" s="277">
        <v>1367</v>
      </c>
      <c r="H15" s="117">
        <v>15584</v>
      </c>
      <c r="I15" s="26"/>
      <c r="J15" s="117">
        <f>+G37*E37+G38*E38+G39*E39</f>
        <v>9119</v>
      </c>
      <c r="K15" s="117">
        <f t="shared" si="0"/>
        <v>24703</v>
      </c>
      <c r="L15" s="26"/>
      <c r="M15" s="11"/>
    </row>
    <row r="16" spans="1:13">
      <c r="A16" s="1" t="s">
        <v>37</v>
      </c>
      <c r="B16" s="1"/>
      <c r="C16" s="1"/>
      <c r="D16" s="275">
        <v>100</v>
      </c>
      <c r="E16" s="288">
        <v>25.7</v>
      </c>
      <c r="F16" s="288">
        <v>13.4</v>
      </c>
      <c r="G16" s="277">
        <v>1385</v>
      </c>
      <c r="H16" s="117">
        <v>35595</v>
      </c>
      <c r="I16" s="26"/>
      <c r="J16" s="117"/>
      <c r="K16" s="117">
        <f t="shared" si="0"/>
        <v>35595</v>
      </c>
      <c r="L16" s="26"/>
      <c r="M16" s="11"/>
    </row>
    <row r="17" spans="1:13">
      <c r="A17" s="1" t="s">
        <v>134</v>
      </c>
      <c r="B17" s="1"/>
      <c r="C17" s="1"/>
      <c r="D17" s="275">
        <v>100</v>
      </c>
      <c r="E17" s="117">
        <v>15.9</v>
      </c>
      <c r="F17" s="117">
        <v>15.2</v>
      </c>
      <c r="G17" s="277">
        <v>1329</v>
      </c>
      <c r="H17" s="117">
        <v>21131</v>
      </c>
      <c r="I17" s="26"/>
      <c r="J17" s="117">
        <v>21214</v>
      </c>
      <c r="K17" s="117">
        <f>+J17+I17+H17</f>
        <v>42345</v>
      </c>
      <c r="L17" s="26"/>
      <c r="M17" s="11"/>
    </row>
    <row r="18" spans="1:13">
      <c r="A18" s="1" t="s">
        <v>331</v>
      </c>
      <c r="B18" s="1"/>
      <c r="C18" s="1"/>
      <c r="D18" s="275">
        <v>100</v>
      </c>
      <c r="E18" s="117">
        <v>27</v>
      </c>
      <c r="F18" s="117">
        <v>22</v>
      </c>
      <c r="G18" s="277">
        <v>1120</v>
      </c>
      <c r="H18" s="117">
        <f>+G18*E18</f>
        <v>30240</v>
      </c>
      <c r="I18" s="117">
        <v>16449</v>
      </c>
      <c r="J18" s="117"/>
      <c r="K18" s="117">
        <f>+J18+I18+H18</f>
        <v>46689</v>
      </c>
      <c r="L18" s="26"/>
      <c r="M18" s="1"/>
    </row>
    <row r="19" spans="1:13">
      <c r="A19" s="1" t="s">
        <v>143</v>
      </c>
      <c r="B19" s="1"/>
      <c r="C19" s="1"/>
      <c r="D19" s="275">
        <v>100</v>
      </c>
      <c r="E19" s="288">
        <v>40.9</v>
      </c>
      <c r="F19" s="288">
        <v>24.1</v>
      </c>
      <c r="G19" s="277">
        <v>1100</v>
      </c>
      <c r="H19" s="117">
        <v>44990</v>
      </c>
      <c r="I19" s="26"/>
      <c r="J19" s="117"/>
      <c r="K19" s="117">
        <f t="shared" si="0"/>
        <v>44990</v>
      </c>
      <c r="L19" s="26"/>
      <c r="M19" s="1"/>
    </row>
    <row r="20" spans="1:13">
      <c r="A20" s="15" t="s">
        <v>333</v>
      </c>
      <c r="B20" s="15"/>
      <c r="C20" s="15"/>
      <c r="D20" s="279"/>
      <c r="E20" s="280">
        <f>SUM(E10:E19)</f>
        <v>156.6</v>
      </c>
      <c r="F20" s="280">
        <v>106.17</v>
      </c>
      <c r="G20" s="280"/>
      <c r="H20" s="280">
        <f>SUM(H10:H19)</f>
        <v>192331</v>
      </c>
      <c r="I20" s="280">
        <f t="shared" ref="I20:L20" si="1">SUM(I10:I19)</f>
        <v>23310</v>
      </c>
      <c r="J20" s="280">
        <f t="shared" si="1"/>
        <v>45068</v>
      </c>
      <c r="K20" s="280">
        <f t="shared" si="1"/>
        <v>260709</v>
      </c>
      <c r="L20" s="280">
        <f t="shared" si="1"/>
        <v>519</v>
      </c>
      <c r="M20" s="17"/>
    </row>
    <row r="21" spans="1:13">
      <c r="A21" s="18" t="s">
        <v>334</v>
      </c>
      <c r="B21" s="18"/>
      <c r="C21" s="18"/>
      <c r="D21" s="281"/>
      <c r="E21" s="265">
        <v>50.49</v>
      </c>
      <c r="F21" s="265"/>
      <c r="G21" s="265"/>
      <c r="H21" s="265">
        <f>SUM(E31*G31)</f>
        <v>61250</v>
      </c>
      <c r="I21" s="265">
        <f>I20-L20</f>
        <v>22791</v>
      </c>
      <c r="J21" s="265">
        <f>J20-M20</f>
        <v>45068</v>
      </c>
      <c r="K21" s="265">
        <f>SUM(H21:J21)</f>
        <v>129109</v>
      </c>
      <c r="L21" s="39"/>
      <c r="M21" s="18"/>
    </row>
    <row r="22" spans="1:13">
      <c r="A22" s="21"/>
      <c r="B22" s="1"/>
      <c r="C22" s="1"/>
      <c r="D22" s="1"/>
      <c r="E22" s="1"/>
      <c r="F22" s="1"/>
      <c r="G22" s="7"/>
      <c r="H22" s="1"/>
      <c r="I22" s="7"/>
      <c r="J22" s="1"/>
      <c r="K22" s="7"/>
      <c r="L22" s="1"/>
      <c r="M22" s="1"/>
    </row>
    <row r="23" spans="1:13">
      <c r="A23" s="1"/>
      <c r="B23" s="1"/>
      <c r="C23" s="21" t="s">
        <v>45</v>
      </c>
      <c r="D23" s="1"/>
      <c r="E23" s="1"/>
      <c r="F23" s="1"/>
      <c r="G23" s="1"/>
      <c r="H23" s="7"/>
      <c r="I23" s="7"/>
      <c r="J23" s="7"/>
      <c r="K23" s="7"/>
      <c r="L23" s="1"/>
      <c r="M23" s="1"/>
    </row>
    <row r="24" spans="1:13">
      <c r="A24" s="1"/>
      <c r="B24" s="1"/>
      <c r="C24" s="1"/>
      <c r="D24" s="1"/>
      <c r="E24" s="1"/>
      <c r="F24" s="1"/>
      <c r="G24" s="1"/>
      <c r="H24" s="11"/>
      <c r="I24" s="1"/>
      <c r="J24" s="1"/>
      <c r="K24" s="7"/>
      <c r="L24" s="1"/>
      <c r="M24" s="1"/>
    </row>
    <row r="25" spans="1:13">
      <c r="A25" s="21" t="s">
        <v>46</v>
      </c>
      <c r="B25" s="21"/>
      <c r="C25" s="21"/>
      <c r="D25" s="21"/>
      <c r="E25" s="21"/>
      <c r="F25" s="21"/>
      <c r="G25" s="21"/>
      <c r="H25" s="21"/>
      <c r="I25" s="1"/>
      <c r="J25" s="1"/>
      <c r="K25" s="7"/>
      <c r="L25" s="1"/>
      <c r="M25" s="1"/>
    </row>
    <row r="26" spans="1:13">
      <c r="A26" s="260" t="s">
        <v>47</v>
      </c>
      <c r="B26" s="260"/>
      <c r="C26" s="260"/>
      <c r="D26" s="260" t="s">
        <v>48</v>
      </c>
      <c r="E26" s="260" t="s">
        <v>49</v>
      </c>
      <c r="F26" s="260"/>
      <c r="G26" s="260" t="s">
        <v>50</v>
      </c>
      <c r="H26" s="21"/>
      <c r="I26" s="15" t="s">
        <v>60</v>
      </c>
      <c r="J26" s="17">
        <v>0.4</v>
      </c>
      <c r="K26" s="1"/>
      <c r="L26" s="1"/>
      <c r="M26" s="1"/>
    </row>
    <row r="27" spans="1:13">
      <c r="A27" s="21" t="s">
        <v>53</v>
      </c>
      <c r="B27" s="1"/>
      <c r="C27" s="1"/>
      <c r="D27" s="1"/>
      <c r="E27" s="1"/>
      <c r="F27" s="1"/>
      <c r="G27" s="1"/>
      <c r="H27" s="1"/>
      <c r="I27" s="18" t="s">
        <v>62</v>
      </c>
      <c r="J27" s="20">
        <v>0.5</v>
      </c>
      <c r="K27" s="1"/>
      <c r="L27" s="1"/>
      <c r="M27" s="1"/>
    </row>
    <row r="28" spans="1:13">
      <c r="A28" s="1" t="s">
        <v>55</v>
      </c>
      <c r="B28" s="12" t="s">
        <v>358</v>
      </c>
      <c r="C28" s="1"/>
      <c r="D28" s="26" t="s">
        <v>393</v>
      </c>
      <c r="E28" s="117">
        <v>0.15</v>
      </c>
      <c r="F28" s="26"/>
      <c r="G28" s="117">
        <v>90453</v>
      </c>
      <c r="H28" s="1"/>
      <c r="I28" s="27"/>
      <c r="J28" s="28"/>
      <c r="K28" s="1"/>
      <c r="L28" s="1"/>
      <c r="M28" s="1"/>
    </row>
    <row r="29" spans="1:13">
      <c r="A29" s="1"/>
      <c r="B29" s="12" t="s">
        <v>335</v>
      </c>
      <c r="C29" s="1"/>
      <c r="D29" s="26" t="s">
        <v>393</v>
      </c>
      <c r="E29" s="48" t="s">
        <v>148</v>
      </c>
      <c r="F29" s="26"/>
      <c r="G29" s="48" t="s">
        <v>149</v>
      </c>
      <c r="H29" s="1"/>
      <c r="I29" s="27"/>
      <c r="J29" s="28"/>
      <c r="K29" s="1"/>
      <c r="L29" s="1"/>
      <c r="M29" s="1"/>
    </row>
    <row r="30" spans="1:13">
      <c r="A30" s="21" t="s">
        <v>57</v>
      </c>
      <c r="B30" s="1"/>
      <c r="C30" s="1"/>
      <c r="D30" s="26"/>
      <c r="E30" s="26"/>
      <c r="F30" s="26"/>
      <c r="G30" s="26"/>
      <c r="H30" s="1"/>
      <c r="I30" s="23" t="s">
        <v>51</v>
      </c>
      <c r="J30" s="24" t="s">
        <v>52</v>
      </c>
      <c r="K30" s="11"/>
      <c r="L30" s="1"/>
      <c r="M30" s="1"/>
    </row>
    <row r="31" spans="1:13">
      <c r="A31" s="1" t="s">
        <v>336</v>
      </c>
      <c r="B31" s="1"/>
      <c r="C31" s="1"/>
      <c r="D31" s="26" t="s">
        <v>59</v>
      </c>
      <c r="E31" s="117">
        <v>50</v>
      </c>
      <c r="F31" s="118"/>
      <c r="G31" s="117">
        <v>1225</v>
      </c>
      <c r="H31" s="1"/>
      <c r="I31" s="46" t="s">
        <v>394</v>
      </c>
      <c r="J31" s="73">
        <v>40</v>
      </c>
      <c r="K31" s="11"/>
      <c r="L31" s="1"/>
      <c r="M31" s="1"/>
    </row>
    <row r="32" spans="1:13">
      <c r="A32" s="1" t="s">
        <v>271</v>
      </c>
      <c r="B32" s="1"/>
      <c r="C32" s="1"/>
      <c r="D32" s="26" t="s">
        <v>59</v>
      </c>
      <c r="E32" s="117">
        <v>107</v>
      </c>
      <c r="F32" s="118"/>
      <c r="G32" s="118"/>
      <c r="H32" s="1"/>
      <c r="I32" s="290" t="s">
        <v>243</v>
      </c>
      <c r="J32" s="62">
        <v>6</v>
      </c>
      <c r="K32" s="1"/>
      <c r="L32" s="1"/>
      <c r="M32" s="1"/>
    </row>
    <row r="33" spans="1:13">
      <c r="A33" s="1" t="s">
        <v>6</v>
      </c>
      <c r="B33" s="1"/>
      <c r="C33" s="1"/>
      <c r="D33" s="1"/>
      <c r="E33" s="117">
        <f>+E32+E31</f>
        <v>157</v>
      </c>
      <c r="F33" s="118"/>
      <c r="G33" s="118"/>
      <c r="H33" s="1"/>
      <c r="I33" s="290" t="s">
        <v>150</v>
      </c>
      <c r="J33" s="62">
        <v>27</v>
      </c>
      <c r="K33" s="29"/>
      <c r="L33" s="1"/>
      <c r="M33" s="1"/>
    </row>
    <row r="34" spans="1:13">
      <c r="A34" s="1"/>
      <c r="B34" s="1"/>
      <c r="C34" s="1"/>
      <c r="D34" s="1"/>
      <c r="E34" s="11"/>
      <c r="F34" s="1"/>
      <c r="G34" s="1"/>
      <c r="H34" s="1"/>
      <c r="I34" s="49" t="s">
        <v>113</v>
      </c>
      <c r="J34" s="50">
        <v>27</v>
      </c>
      <c r="K34" s="1"/>
      <c r="L34" s="1"/>
      <c r="M34" s="1"/>
    </row>
    <row r="35" spans="1:13">
      <c r="A35" s="262" t="s">
        <v>395</v>
      </c>
      <c r="B35" s="15"/>
      <c r="C35" s="262" t="s">
        <v>338</v>
      </c>
      <c r="D35" s="15"/>
      <c r="E35" s="15"/>
      <c r="F35" s="15"/>
      <c r="G35" s="15"/>
      <c r="H35" s="1"/>
      <c r="I35" s="1"/>
      <c r="J35" s="11"/>
      <c r="K35" s="1"/>
      <c r="L35" s="1"/>
      <c r="M35" s="1"/>
    </row>
    <row r="36" spans="1:13">
      <c r="A36" s="1"/>
      <c r="B36" s="3"/>
      <c r="C36" s="270" t="s">
        <v>339</v>
      </c>
      <c r="D36" s="27"/>
      <c r="E36" s="27"/>
      <c r="F36" s="27"/>
      <c r="G36" s="27"/>
      <c r="H36" s="1"/>
      <c r="I36" s="1"/>
      <c r="J36" s="1"/>
      <c r="K36" s="1"/>
      <c r="L36" s="1"/>
      <c r="M36" s="1"/>
    </row>
    <row r="37" spans="1:13">
      <c r="A37" s="27" t="s">
        <v>65</v>
      </c>
      <c r="B37" s="3"/>
      <c r="C37" s="31">
        <v>57</v>
      </c>
      <c r="D37" s="32" t="s">
        <v>66</v>
      </c>
      <c r="E37" s="44">
        <v>91</v>
      </c>
      <c r="F37" s="32"/>
      <c r="G37" s="44">
        <v>23</v>
      </c>
      <c r="H37" s="1"/>
      <c r="I37" s="1"/>
      <c r="J37" s="1"/>
      <c r="K37" s="1"/>
      <c r="L37" s="1"/>
      <c r="M37" s="1"/>
    </row>
    <row r="38" spans="1:13">
      <c r="A38" s="27" t="s">
        <v>67</v>
      </c>
      <c r="B38" s="3"/>
      <c r="C38" s="31">
        <v>47</v>
      </c>
      <c r="D38" s="32" t="s">
        <v>66</v>
      </c>
      <c r="E38" s="41">
        <v>106</v>
      </c>
      <c r="F38" s="32"/>
      <c r="G38" s="41">
        <v>21</v>
      </c>
      <c r="H38" s="1"/>
      <c r="I38" s="1"/>
      <c r="J38" s="1"/>
      <c r="K38" s="1"/>
      <c r="L38" s="1"/>
      <c r="M38" s="1"/>
    </row>
    <row r="39" spans="1:13">
      <c r="A39" s="27" t="s">
        <v>151</v>
      </c>
      <c r="B39" s="3"/>
      <c r="C39" s="31">
        <v>73</v>
      </c>
      <c r="D39" s="32" t="s">
        <v>66</v>
      </c>
      <c r="E39" s="41">
        <v>192</v>
      </c>
      <c r="F39" s="32"/>
      <c r="G39" s="41">
        <v>25</v>
      </c>
      <c r="H39" s="1"/>
      <c r="I39" s="1"/>
      <c r="J39" s="1"/>
      <c r="K39" s="1"/>
      <c r="L39" s="1"/>
      <c r="M39" s="1"/>
    </row>
    <row r="40" spans="1:13">
      <c r="A40" s="1"/>
      <c r="B40" s="3"/>
      <c r="C40" s="31"/>
      <c r="D40" s="32"/>
      <c r="E40" s="33"/>
      <c r="F40" s="27"/>
      <c r="G40" s="33"/>
      <c r="H40" s="1"/>
      <c r="I40" s="1"/>
      <c r="J40" s="1"/>
      <c r="K40" s="1"/>
      <c r="L40" s="1"/>
      <c r="M40" s="1"/>
    </row>
    <row r="41" spans="1:13">
      <c r="A41" s="262" t="s">
        <v>70</v>
      </c>
      <c r="B41" s="15"/>
      <c r="C41" s="15"/>
      <c r="D41" s="15"/>
      <c r="E41" s="15"/>
      <c r="F41" s="15"/>
      <c r="G41" s="255" t="s">
        <v>340</v>
      </c>
      <c r="H41" s="266"/>
      <c r="I41" s="266" t="s">
        <v>341</v>
      </c>
      <c r="J41" s="1"/>
      <c r="K41" s="1"/>
      <c r="L41" s="1"/>
      <c r="M41" s="1"/>
    </row>
    <row r="42" spans="1:13">
      <c r="A42" s="27" t="s">
        <v>342</v>
      </c>
      <c r="B42" s="27"/>
      <c r="C42" s="27"/>
      <c r="D42" s="27"/>
      <c r="E42" s="27"/>
      <c r="F42" s="27"/>
      <c r="G42" s="55">
        <v>5204</v>
      </c>
      <c r="H42" s="1"/>
      <c r="I42" s="7">
        <v>12859</v>
      </c>
      <c r="J42" s="1"/>
      <c r="K42" s="11"/>
      <c r="L42" s="1"/>
      <c r="M42" s="1"/>
    </row>
    <row r="43" spans="1:13">
      <c r="A43" s="27" t="s">
        <v>343</v>
      </c>
      <c r="B43" s="27"/>
      <c r="C43" s="27"/>
      <c r="D43" s="27"/>
      <c r="E43" s="27"/>
      <c r="F43" s="27"/>
      <c r="G43" s="56">
        <v>201</v>
      </c>
      <c r="H43" s="1"/>
      <c r="I43" s="7"/>
      <c r="J43" s="1"/>
      <c r="K43" s="11"/>
      <c r="L43" s="1"/>
      <c r="M43" s="1"/>
    </row>
    <row r="44" spans="1:13">
      <c r="A44" s="27" t="s">
        <v>360</v>
      </c>
      <c r="B44" s="27"/>
      <c r="C44" s="27"/>
      <c r="D44" s="27"/>
      <c r="E44" s="27"/>
      <c r="F44" s="27"/>
      <c r="G44" s="56">
        <f>+G43*G42</f>
        <v>1046004</v>
      </c>
      <c r="H44" s="291"/>
      <c r="I44" s="7">
        <v>2584676</v>
      </c>
      <c r="J44" s="1"/>
      <c r="K44" s="11"/>
      <c r="L44" s="1"/>
      <c r="M44" s="1"/>
    </row>
    <row r="45" spans="1:13">
      <c r="A45" s="27" t="s">
        <v>361</v>
      </c>
      <c r="B45" s="27"/>
      <c r="C45" s="27"/>
      <c r="D45" s="27"/>
      <c r="E45" s="27"/>
      <c r="F45" s="27"/>
      <c r="G45" s="56">
        <f>+G44-K20</f>
        <v>785295</v>
      </c>
      <c r="H45" s="291"/>
      <c r="I45" s="7">
        <v>1940464</v>
      </c>
      <c r="J45" s="1"/>
      <c r="K45" s="11"/>
      <c r="L45" s="1"/>
      <c r="M45" s="1"/>
    </row>
    <row r="46" spans="1:13">
      <c r="A46" s="27" t="s">
        <v>362</v>
      </c>
      <c r="B46" s="27"/>
      <c r="C46" s="27"/>
      <c r="D46" s="27"/>
      <c r="E46" s="27"/>
      <c r="F46" s="27"/>
      <c r="G46" s="56">
        <f>+G44-K21</f>
        <v>916895</v>
      </c>
      <c r="H46" s="291"/>
      <c r="I46" s="7">
        <v>2265648</v>
      </c>
      <c r="J46" s="1"/>
      <c r="K46" s="11"/>
      <c r="L46" s="1"/>
      <c r="M46" s="1"/>
    </row>
    <row r="47" spans="1:13">
      <c r="A47" s="27"/>
      <c r="B47" s="27"/>
      <c r="C47" s="27"/>
      <c r="D47" s="27"/>
      <c r="E47" s="27"/>
      <c r="F47" s="27"/>
      <c r="G47" s="56"/>
      <c r="H47" s="36"/>
      <c r="I47" s="36"/>
      <c r="J47" s="1"/>
      <c r="K47" s="1"/>
      <c r="L47" s="1"/>
      <c r="M47" s="1"/>
    </row>
    <row r="48" spans="1:13">
      <c r="A48" s="27" t="s">
        <v>347</v>
      </c>
      <c r="B48" s="27"/>
      <c r="C48" s="27"/>
      <c r="D48" s="27"/>
      <c r="E48" s="27"/>
      <c r="F48" s="27"/>
      <c r="G48" s="56">
        <f>+K20/G42</f>
        <v>50.097809377402001</v>
      </c>
      <c r="H48" s="1"/>
      <c r="I48" s="1"/>
      <c r="J48" s="1"/>
      <c r="K48" s="1"/>
      <c r="L48" s="1"/>
      <c r="M48" s="1"/>
    </row>
    <row r="49" spans="1:13">
      <c r="A49" s="18" t="s">
        <v>348</v>
      </c>
      <c r="B49" s="18"/>
      <c r="C49" s="18"/>
      <c r="D49" s="18"/>
      <c r="E49" s="18"/>
      <c r="F49" s="18"/>
      <c r="G49" s="57">
        <f>+K21/G42</f>
        <v>24.809569561875481</v>
      </c>
      <c r="H49" s="1"/>
      <c r="I49" s="1"/>
      <c r="J49" s="1"/>
      <c r="K49" s="1"/>
      <c r="L49" s="1"/>
      <c r="M49" s="1"/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3:M48"/>
  <sheetViews>
    <sheetView topLeftCell="A10" workbookViewId="0">
      <selection activeCell="G46" sqref="G46"/>
    </sheetView>
  </sheetViews>
  <sheetFormatPr defaultRowHeight="15"/>
  <sheetData>
    <row r="3" spans="1:13">
      <c r="A3" s="1" t="s">
        <v>0</v>
      </c>
      <c r="B3" s="1" t="s">
        <v>197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1"/>
      <c r="B4" s="1" t="s">
        <v>198</v>
      </c>
      <c r="C4" s="1"/>
      <c r="D4" s="1"/>
      <c r="E4" s="1"/>
      <c r="F4" s="1" t="s">
        <v>81</v>
      </c>
      <c r="G4" s="1"/>
      <c r="H4" s="1"/>
      <c r="I4" s="1"/>
      <c r="J4" s="1"/>
      <c r="K4" s="1"/>
      <c r="L4" s="1"/>
      <c r="M4" s="1"/>
    </row>
    <row r="5" spans="1:1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>
      <c r="A6" s="15" t="s">
        <v>4</v>
      </c>
      <c r="B6" s="15"/>
      <c r="C6" s="15"/>
      <c r="D6" s="38" t="s">
        <v>5</v>
      </c>
      <c r="E6" s="38" t="s">
        <v>6</v>
      </c>
      <c r="F6" s="38" t="s">
        <v>7</v>
      </c>
      <c r="G6" s="38" t="s">
        <v>8</v>
      </c>
      <c r="H6" s="38" t="s">
        <v>9</v>
      </c>
      <c r="I6" s="38" t="s">
        <v>10</v>
      </c>
      <c r="J6" s="38" t="s">
        <v>11</v>
      </c>
      <c r="K6" s="38" t="s">
        <v>12</v>
      </c>
      <c r="L6" s="2" t="s">
        <v>82</v>
      </c>
      <c r="M6" s="38"/>
    </row>
    <row r="7" spans="1:13">
      <c r="A7" s="27"/>
      <c r="B7" s="27"/>
      <c r="C7" s="27"/>
      <c r="D7" s="32" t="s">
        <v>14</v>
      </c>
      <c r="E7" s="32" t="s">
        <v>15</v>
      </c>
      <c r="F7" s="32" t="s">
        <v>15</v>
      </c>
      <c r="G7" s="32" t="s">
        <v>16</v>
      </c>
      <c r="H7" s="32" t="s">
        <v>17</v>
      </c>
      <c r="I7" s="32" t="s">
        <v>18</v>
      </c>
      <c r="J7" s="32" t="s">
        <v>17</v>
      </c>
      <c r="K7" s="32" t="s">
        <v>17</v>
      </c>
      <c r="L7" s="3" t="s">
        <v>10</v>
      </c>
      <c r="M7" s="32" t="s">
        <v>11</v>
      </c>
    </row>
    <row r="8" spans="1:13">
      <c r="A8" s="27"/>
      <c r="B8" s="27"/>
      <c r="C8" s="27"/>
      <c r="D8" s="32" t="s">
        <v>21</v>
      </c>
      <c r="E8" s="32"/>
      <c r="F8" s="32"/>
      <c r="G8" s="32"/>
      <c r="H8" s="32" t="s">
        <v>22</v>
      </c>
      <c r="I8" s="32" t="s">
        <v>17</v>
      </c>
      <c r="J8" s="32" t="s">
        <v>22</v>
      </c>
      <c r="K8" s="32" t="s">
        <v>22</v>
      </c>
      <c r="L8" s="32"/>
      <c r="M8" s="32"/>
    </row>
    <row r="9" spans="1:13">
      <c r="A9" s="18"/>
      <c r="B9" s="18"/>
      <c r="C9" s="18"/>
      <c r="D9" s="39"/>
      <c r="E9" s="39"/>
      <c r="F9" s="39"/>
      <c r="G9" s="39"/>
      <c r="H9" s="39"/>
      <c r="I9" s="39" t="s">
        <v>22</v>
      </c>
      <c r="J9" s="39"/>
      <c r="K9" s="39"/>
      <c r="L9" s="39"/>
      <c r="M9" s="39"/>
    </row>
    <row r="10" spans="1:13">
      <c r="A10" s="1" t="s">
        <v>94</v>
      </c>
      <c r="B10" s="1"/>
      <c r="C10" s="1"/>
      <c r="D10" s="4">
        <v>83</v>
      </c>
      <c r="E10" s="7">
        <v>2.7</v>
      </c>
      <c r="F10" s="7">
        <v>0.4</v>
      </c>
      <c r="G10" s="6">
        <v>774</v>
      </c>
      <c r="H10" s="7">
        <v>2090</v>
      </c>
      <c r="I10" s="7"/>
      <c r="J10" s="7"/>
      <c r="K10" s="7">
        <f>+J10+I10+H10</f>
        <v>2090</v>
      </c>
      <c r="L10" s="1"/>
      <c r="M10" s="1"/>
    </row>
    <row r="11" spans="1:13">
      <c r="A11" s="1" t="s">
        <v>199</v>
      </c>
      <c r="B11" s="1"/>
      <c r="C11" s="1"/>
      <c r="D11" s="4">
        <v>100</v>
      </c>
      <c r="E11" s="7">
        <v>0.3</v>
      </c>
      <c r="F11" s="7">
        <v>0.3</v>
      </c>
      <c r="G11" s="6">
        <v>1020</v>
      </c>
      <c r="H11" s="7">
        <v>306</v>
      </c>
      <c r="I11" s="7">
        <v>3221</v>
      </c>
      <c r="J11" s="7"/>
      <c r="K11" s="7">
        <f t="shared" ref="K11:K21" si="0">+J11+I11+H11</f>
        <v>3527</v>
      </c>
      <c r="L11" s="5">
        <v>833</v>
      </c>
      <c r="M11" s="1"/>
    </row>
    <row r="12" spans="1:13">
      <c r="A12" s="1" t="s">
        <v>200</v>
      </c>
      <c r="B12" s="1"/>
      <c r="C12" s="1"/>
      <c r="D12" s="4">
        <v>100</v>
      </c>
      <c r="E12" s="7">
        <v>5</v>
      </c>
      <c r="F12" s="7">
        <v>0.1</v>
      </c>
      <c r="G12" s="6">
        <v>715</v>
      </c>
      <c r="H12" s="7">
        <v>3575</v>
      </c>
      <c r="I12" s="7"/>
      <c r="J12" s="7"/>
      <c r="K12" s="7">
        <f t="shared" si="0"/>
        <v>3575</v>
      </c>
      <c r="L12" s="1"/>
      <c r="M12" s="1"/>
    </row>
    <row r="13" spans="1:13">
      <c r="A13" s="1" t="s">
        <v>114</v>
      </c>
      <c r="B13" s="1"/>
      <c r="C13" s="1"/>
      <c r="D13" s="4">
        <v>100</v>
      </c>
      <c r="E13" s="7">
        <v>10.4</v>
      </c>
      <c r="F13" s="7">
        <v>0.5</v>
      </c>
      <c r="G13" s="6">
        <v>723</v>
      </c>
      <c r="H13" s="7">
        <v>7519</v>
      </c>
      <c r="I13" s="7"/>
      <c r="J13" s="7">
        <f>+G29*E29</f>
        <v>122412</v>
      </c>
      <c r="K13" s="7">
        <f t="shared" si="0"/>
        <v>129931</v>
      </c>
      <c r="L13" s="11"/>
      <c r="M13" s="7"/>
    </row>
    <row r="14" spans="1:13">
      <c r="A14" s="1" t="s">
        <v>86</v>
      </c>
      <c r="B14" s="1"/>
      <c r="C14" s="1"/>
      <c r="D14" s="4">
        <v>100</v>
      </c>
      <c r="E14" s="7">
        <v>3.1</v>
      </c>
      <c r="F14" s="7">
        <v>1.2</v>
      </c>
      <c r="G14" s="6">
        <v>1300</v>
      </c>
      <c r="H14" s="7">
        <v>4030</v>
      </c>
      <c r="I14" s="7"/>
      <c r="J14" s="7">
        <v>26105</v>
      </c>
      <c r="K14" s="7">
        <f>+J14+I14+H14</f>
        <v>30135</v>
      </c>
      <c r="L14" s="1"/>
      <c r="M14" s="1"/>
    </row>
    <row r="15" spans="1:13">
      <c r="A15" s="1" t="s">
        <v>201</v>
      </c>
      <c r="B15" s="1"/>
      <c r="C15" s="1"/>
      <c r="D15" s="4">
        <v>97</v>
      </c>
      <c r="E15" s="7">
        <v>0.5</v>
      </c>
      <c r="F15" s="7">
        <v>0.4</v>
      </c>
      <c r="G15" s="6">
        <v>1246</v>
      </c>
      <c r="H15" s="7">
        <v>623</v>
      </c>
      <c r="I15" s="7"/>
      <c r="J15" s="7">
        <v>2179</v>
      </c>
      <c r="K15" s="7">
        <f t="shared" si="0"/>
        <v>2802</v>
      </c>
      <c r="L15" s="1"/>
      <c r="M15" s="1"/>
    </row>
    <row r="16" spans="1:13">
      <c r="A16" s="1" t="s">
        <v>202</v>
      </c>
      <c r="B16" s="1"/>
      <c r="C16" s="1"/>
      <c r="D16" s="4">
        <v>67</v>
      </c>
      <c r="E16" s="7">
        <v>8.5</v>
      </c>
      <c r="F16" s="7">
        <v>0.8</v>
      </c>
      <c r="G16" s="6">
        <v>981</v>
      </c>
      <c r="H16" s="7">
        <v>8339</v>
      </c>
      <c r="I16" s="7"/>
      <c r="J16" s="7"/>
      <c r="K16" s="7">
        <f t="shared" si="0"/>
        <v>8339</v>
      </c>
      <c r="L16" s="1"/>
      <c r="M16" s="1"/>
    </row>
    <row r="17" spans="1:13">
      <c r="A17" s="1" t="s">
        <v>134</v>
      </c>
      <c r="B17" s="1"/>
      <c r="C17" s="1"/>
      <c r="D17" s="4">
        <v>83</v>
      </c>
      <c r="E17" s="7">
        <v>1</v>
      </c>
      <c r="F17" s="7">
        <v>0.6</v>
      </c>
      <c r="G17" s="6">
        <v>1331</v>
      </c>
      <c r="H17" s="7">
        <v>1331</v>
      </c>
      <c r="I17" s="7"/>
      <c r="J17" s="7">
        <v>3455</v>
      </c>
      <c r="K17" s="7">
        <f t="shared" si="0"/>
        <v>4786</v>
      </c>
      <c r="L17" s="1"/>
      <c r="M17" s="1"/>
    </row>
    <row r="18" spans="1:13">
      <c r="A18" s="1" t="s">
        <v>40</v>
      </c>
      <c r="B18" s="1"/>
      <c r="C18" s="1"/>
      <c r="D18" s="4">
        <v>100</v>
      </c>
      <c r="E18" s="7">
        <v>26</v>
      </c>
      <c r="F18" s="7">
        <v>13.7</v>
      </c>
      <c r="G18" s="6">
        <v>1256</v>
      </c>
      <c r="H18" s="7">
        <v>32656</v>
      </c>
      <c r="I18" s="7">
        <v>8533</v>
      </c>
      <c r="J18" s="7"/>
      <c r="K18" s="7">
        <f t="shared" si="0"/>
        <v>41189</v>
      </c>
      <c r="L18" s="1"/>
      <c r="M18" s="1"/>
    </row>
    <row r="19" spans="1:13">
      <c r="A19" s="1" t="s">
        <v>203</v>
      </c>
      <c r="B19" s="1"/>
      <c r="C19" s="1"/>
      <c r="D19" s="4">
        <v>100</v>
      </c>
      <c r="E19" s="7">
        <v>11.8</v>
      </c>
      <c r="F19" s="7">
        <v>1.2</v>
      </c>
      <c r="G19" s="6">
        <v>1033</v>
      </c>
      <c r="H19" s="7">
        <v>12189</v>
      </c>
      <c r="I19" s="7"/>
      <c r="J19" s="119">
        <v>2733</v>
      </c>
      <c r="K19" s="7">
        <f t="shared" si="0"/>
        <v>14922</v>
      </c>
      <c r="L19" s="1"/>
      <c r="M19" s="1"/>
    </row>
    <row r="20" spans="1:13">
      <c r="A20" s="1" t="s">
        <v>41</v>
      </c>
      <c r="B20" s="1"/>
      <c r="C20" s="1"/>
      <c r="D20" s="4">
        <v>100</v>
      </c>
      <c r="E20" s="7">
        <v>18.399999999999999</v>
      </c>
      <c r="F20" s="7">
        <v>1.6</v>
      </c>
      <c r="G20" s="6">
        <v>1203</v>
      </c>
      <c r="H20" s="7">
        <v>22135</v>
      </c>
      <c r="I20" s="7"/>
      <c r="J20" s="7"/>
      <c r="K20" s="7">
        <f t="shared" si="0"/>
        <v>22135</v>
      </c>
      <c r="L20" s="1"/>
      <c r="M20" s="1"/>
    </row>
    <row r="21" spans="1:13">
      <c r="A21" s="1" t="s">
        <v>42</v>
      </c>
      <c r="B21" s="1"/>
      <c r="C21" s="1"/>
      <c r="D21" s="4">
        <v>60</v>
      </c>
      <c r="E21" s="7">
        <v>1</v>
      </c>
      <c r="F21" s="7">
        <v>0.3</v>
      </c>
      <c r="G21" s="6">
        <v>1300</v>
      </c>
      <c r="H21" s="7">
        <v>1300</v>
      </c>
      <c r="I21" s="7">
        <v>3155</v>
      </c>
      <c r="J21" s="7"/>
      <c r="K21" s="7">
        <f t="shared" si="0"/>
        <v>4455</v>
      </c>
      <c r="L21" s="5">
        <v>526</v>
      </c>
      <c r="M21" s="1"/>
    </row>
    <row r="22" spans="1:13">
      <c r="A22" s="15" t="s">
        <v>43</v>
      </c>
      <c r="B22" s="15"/>
      <c r="C22" s="15"/>
      <c r="D22" s="16"/>
      <c r="E22" s="17">
        <f>SUM(E10:E21)</f>
        <v>88.699999999999989</v>
      </c>
      <c r="F22" s="17">
        <f>SUM(F10:F21)</f>
        <v>21.1</v>
      </c>
      <c r="G22" s="17"/>
      <c r="H22" s="17">
        <f>SUM(H10:H21)</f>
        <v>96093</v>
      </c>
      <c r="I22" s="17">
        <f t="shared" ref="I22:M22" si="1">SUM(I10:I21)</f>
        <v>14909</v>
      </c>
      <c r="J22" s="17">
        <f t="shared" si="1"/>
        <v>156884</v>
      </c>
      <c r="K22" s="17">
        <f t="shared" si="1"/>
        <v>267886</v>
      </c>
      <c r="L22" s="17">
        <f t="shared" si="1"/>
        <v>1359</v>
      </c>
      <c r="M22" s="17">
        <f t="shared" si="1"/>
        <v>0</v>
      </c>
    </row>
    <row r="23" spans="1:13">
      <c r="A23" s="18" t="s">
        <v>44</v>
      </c>
      <c r="B23" s="18"/>
      <c r="C23" s="18"/>
      <c r="D23" s="19"/>
      <c r="E23" s="20">
        <f>SUM(E22-F22)</f>
        <v>67.599999999999994</v>
      </c>
      <c r="F23" s="20"/>
      <c r="G23" s="20"/>
      <c r="H23" s="20">
        <f>+G31*E31</f>
        <v>73440</v>
      </c>
      <c r="I23" s="20">
        <f>I22-L22</f>
        <v>13550</v>
      </c>
      <c r="J23" s="20">
        <f>J22-M22</f>
        <v>156884</v>
      </c>
      <c r="K23" s="20">
        <f>SUM(H23:J23)</f>
        <v>243874</v>
      </c>
      <c r="L23" s="18"/>
      <c r="M23" s="18"/>
    </row>
    <row r="24" spans="1:13">
      <c r="A24" s="1" t="s">
        <v>204</v>
      </c>
      <c r="B24" s="1"/>
      <c r="C24" s="1"/>
      <c r="D24" s="1"/>
      <c r="E24" s="1"/>
      <c r="F24" s="1"/>
      <c r="G24" s="1"/>
      <c r="H24" s="1"/>
      <c r="I24" s="7"/>
      <c r="J24" s="1"/>
      <c r="K24" s="11"/>
      <c r="L24" s="1"/>
      <c r="M24" s="1"/>
    </row>
    <row r="25" spans="1:13">
      <c r="A25" s="1"/>
      <c r="B25" s="1"/>
      <c r="C25" s="1" t="s">
        <v>45</v>
      </c>
      <c r="D25" s="1"/>
      <c r="E25" s="1"/>
      <c r="F25" s="1"/>
      <c r="G25" s="1"/>
      <c r="H25" s="11"/>
      <c r="I25" s="46" t="s">
        <v>60</v>
      </c>
      <c r="J25" s="47">
        <v>1.9</v>
      </c>
      <c r="K25" s="11"/>
      <c r="L25" s="1"/>
      <c r="M25" s="1"/>
    </row>
    <row r="26" spans="1:13">
      <c r="A26" s="1" t="s">
        <v>46</v>
      </c>
      <c r="B26" s="1"/>
      <c r="C26" s="1"/>
      <c r="D26" s="1"/>
      <c r="E26" s="1"/>
      <c r="F26" s="1"/>
      <c r="G26" s="1"/>
      <c r="H26" s="1"/>
      <c r="I26" s="49" t="s">
        <v>62</v>
      </c>
      <c r="J26" s="120">
        <v>1</v>
      </c>
      <c r="K26" s="1"/>
      <c r="L26" s="1"/>
      <c r="M26" s="1"/>
    </row>
    <row r="27" spans="1:13">
      <c r="A27" s="22" t="s">
        <v>47</v>
      </c>
      <c r="B27" s="22"/>
      <c r="C27" s="22"/>
      <c r="D27" s="22" t="s">
        <v>48</v>
      </c>
      <c r="E27" s="22" t="s">
        <v>49</v>
      </c>
      <c r="F27" s="22"/>
      <c r="G27" s="22" t="s">
        <v>89</v>
      </c>
      <c r="H27" s="1"/>
      <c r="I27" s="1"/>
      <c r="J27" s="1"/>
      <c r="K27" s="45"/>
      <c r="L27" s="1"/>
      <c r="M27" s="1"/>
    </row>
    <row r="28" spans="1:13">
      <c r="A28" s="1" t="s">
        <v>53</v>
      </c>
      <c r="B28" s="1"/>
      <c r="C28" s="1"/>
      <c r="D28" s="1"/>
      <c r="E28" s="1"/>
      <c r="F28" s="1"/>
      <c r="G28" s="1"/>
      <c r="H28" s="1"/>
      <c r="I28" s="51" t="s">
        <v>51</v>
      </c>
      <c r="J28" s="47" t="s">
        <v>52</v>
      </c>
      <c r="K28" s="45"/>
      <c r="L28" s="1"/>
      <c r="M28" s="1"/>
    </row>
    <row r="29" spans="1:13">
      <c r="A29" s="1" t="s">
        <v>114</v>
      </c>
      <c r="B29" s="1"/>
      <c r="C29" s="1"/>
      <c r="D29" s="7" t="s">
        <v>56</v>
      </c>
      <c r="E29" s="7">
        <v>606</v>
      </c>
      <c r="F29" s="7"/>
      <c r="G29" s="7">
        <v>202</v>
      </c>
      <c r="H29" s="1"/>
      <c r="I29" s="25" t="s">
        <v>205</v>
      </c>
      <c r="J29" s="59">
        <v>100</v>
      </c>
      <c r="K29" s="45"/>
      <c r="L29" s="1"/>
      <c r="M29" s="1"/>
    </row>
    <row r="30" spans="1:13">
      <c r="A30" s="1" t="s">
        <v>57</v>
      </c>
      <c r="B30" s="1"/>
      <c r="C30" s="1"/>
      <c r="D30" s="1"/>
      <c r="E30" s="1"/>
      <c r="F30" s="1"/>
      <c r="G30" s="1"/>
      <c r="H30" s="1"/>
      <c r="K30" s="1"/>
      <c r="L30" s="1"/>
      <c r="M30" s="1"/>
    </row>
    <row r="31" spans="1:13">
      <c r="A31" s="1" t="s">
        <v>58</v>
      </c>
      <c r="B31" s="1"/>
      <c r="C31" s="1"/>
      <c r="D31" s="29" t="s">
        <v>59</v>
      </c>
      <c r="E31" s="11">
        <v>68</v>
      </c>
      <c r="F31" s="1"/>
      <c r="G31" s="7">
        <v>1080</v>
      </c>
      <c r="H31" s="1"/>
      <c r="K31" s="1"/>
      <c r="L31" s="1"/>
      <c r="M31" s="1"/>
    </row>
    <row r="32" spans="1:13">
      <c r="A32" s="1" t="s">
        <v>61</v>
      </c>
      <c r="B32" s="1"/>
      <c r="C32" s="1"/>
      <c r="D32" s="29" t="s">
        <v>59</v>
      </c>
      <c r="E32" s="11">
        <v>21</v>
      </c>
      <c r="F32" s="1"/>
      <c r="G32" s="1"/>
      <c r="H32" s="1"/>
      <c r="K32" s="1"/>
      <c r="L32" s="1"/>
      <c r="M32" s="1"/>
    </row>
    <row r="33" spans="1:13">
      <c r="A33" s="1" t="s">
        <v>6</v>
      </c>
      <c r="B33" s="1"/>
      <c r="C33" s="1"/>
      <c r="D33" s="1"/>
      <c r="E33" s="11">
        <f>+E32+E31</f>
        <v>89</v>
      </c>
      <c r="F33" s="1"/>
      <c r="G33" s="1"/>
      <c r="H33" s="1"/>
      <c r="K33" s="29"/>
      <c r="L33" s="1"/>
      <c r="M33" s="1"/>
    </row>
    <row r="34" spans="1:13">
      <c r="A34" s="15" t="s">
        <v>63</v>
      </c>
      <c r="B34" s="15"/>
      <c r="C34" s="15" t="s">
        <v>64</v>
      </c>
      <c r="D34" s="15"/>
      <c r="E34" s="15"/>
      <c r="F34" s="15"/>
      <c r="G34" s="15"/>
      <c r="H34" s="1"/>
      <c r="K34" s="1"/>
      <c r="L34" s="1"/>
      <c r="M34" s="1"/>
    </row>
    <row r="35" spans="1:13">
      <c r="A35" s="27" t="s">
        <v>65</v>
      </c>
      <c r="B35" s="3"/>
      <c r="C35" s="31">
        <v>57</v>
      </c>
      <c r="D35" s="53" t="s">
        <v>66</v>
      </c>
      <c r="E35" s="34">
        <v>74</v>
      </c>
      <c r="F35" s="27"/>
      <c r="G35" s="34">
        <v>23</v>
      </c>
      <c r="H35" s="1"/>
      <c r="I35" s="1"/>
      <c r="J35" s="1"/>
      <c r="K35" s="1"/>
      <c r="L35" s="1"/>
      <c r="M35" s="1"/>
    </row>
    <row r="36" spans="1:13">
      <c r="A36" s="27" t="s">
        <v>67</v>
      </c>
      <c r="B36" s="3"/>
      <c r="C36" s="31">
        <v>63</v>
      </c>
      <c r="D36" s="53" t="s">
        <v>66</v>
      </c>
      <c r="E36" s="34">
        <v>40</v>
      </c>
      <c r="F36" s="27"/>
      <c r="G36" s="34">
        <v>24</v>
      </c>
      <c r="H36" s="1"/>
      <c r="I36" s="1"/>
      <c r="J36" s="1"/>
      <c r="K36" s="1"/>
      <c r="L36" s="1"/>
      <c r="M36" s="1"/>
    </row>
    <row r="37" spans="1:13">
      <c r="A37" s="27" t="s">
        <v>68</v>
      </c>
      <c r="B37" s="3"/>
      <c r="C37" s="31">
        <v>73</v>
      </c>
      <c r="D37" s="53" t="s">
        <v>66</v>
      </c>
      <c r="E37" s="34">
        <v>107</v>
      </c>
      <c r="F37" s="34"/>
      <c r="G37" s="34">
        <v>24</v>
      </c>
      <c r="H37" s="1"/>
      <c r="I37" s="1"/>
      <c r="J37" s="1"/>
      <c r="K37" s="1"/>
      <c r="L37" s="1"/>
      <c r="M37" s="1"/>
    </row>
    <row r="38" spans="1:13">
      <c r="A38" s="27" t="s">
        <v>206</v>
      </c>
      <c r="B38" s="3"/>
      <c r="C38" s="31">
        <v>63</v>
      </c>
      <c r="D38" s="53" t="s">
        <v>66</v>
      </c>
      <c r="E38" s="34">
        <v>3791</v>
      </c>
      <c r="F38" s="34"/>
      <c r="G38" s="34">
        <v>5</v>
      </c>
      <c r="H38" s="1"/>
      <c r="I38" s="1"/>
      <c r="J38" s="1"/>
      <c r="K38" s="1"/>
      <c r="L38" s="1"/>
      <c r="M38" s="1"/>
    </row>
    <row r="39" spans="1:13">
      <c r="A39" s="27" t="s">
        <v>207</v>
      </c>
      <c r="B39" s="3"/>
      <c r="C39" s="31">
        <v>47</v>
      </c>
      <c r="D39" s="53" t="s">
        <v>66</v>
      </c>
      <c r="E39" s="34">
        <v>80</v>
      </c>
      <c r="F39" s="34"/>
      <c r="G39" s="34">
        <v>24</v>
      </c>
      <c r="H39" s="1"/>
      <c r="I39" s="1"/>
      <c r="J39" s="1"/>
      <c r="K39" s="1"/>
      <c r="L39" s="1"/>
      <c r="M39" s="1"/>
    </row>
    <row r="40" spans="1:13">
      <c r="A40" s="15" t="s">
        <v>70</v>
      </c>
      <c r="B40" s="15"/>
      <c r="C40" s="15"/>
      <c r="D40" s="15"/>
      <c r="E40" s="15"/>
      <c r="F40" s="15"/>
      <c r="G40" s="15"/>
      <c r="H40" s="1"/>
      <c r="I40" s="1"/>
      <c r="J40" s="1" t="s">
        <v>71</v>
      </c>
      <c r="K40" s="1"/>
      <c r="L40" s="1"/>
      <c r="M40" s="1"/>
    </row>
    <row r="41" spans="1:13">
      <c r="A41" s="27" t="s">
        <v>72</v>
      </c>
      <c r="B41" s="27"/>
      <c r="C41" s="27"/>
      <c r="D41" s="27"/>
      <c r="E41" s="27"/>
      <c r="F41" s="27"/>
      <c r="G41" s="55">
        <v>4697</v>
      </c>
      <c r="H41" s="1"/>
      <c r="I41" s="1"/>
      <c r="J41" s="7">
        <v>11606</v>
      </c>
      <c r="K41" s="11"/>
      <c r="L41" s="1"/>
      <c r="M41" s="1"/>
    </row>
    <row r="42" spans="1:13">
      <c r="A42" s="27" t="s">
        <v>74</v>
      </c>
      <c r="B42" s="27"/>
      <c r="C42" s="27"/>
      <c r="D42" s="27"/>
      <c r="E42" s="27"/>
      <c r="F42" s="27"/>
      <c r="G42" s="56">
        <v>98</v>
      </c>
      <c r="H42" s="1"/>
      <c r="I42" s="1"/>
      <c r="J42" s="7"/>
      <c r="K42" s="11"/>
      <c r="L42" s="1"/>
      <c r="M42" s="1"/>
    </row>
    <row r="43" spans="1:13">
      <c r="A43" s="27" t="s">
        <v>75</v>
      </c>
      <c r="B43" s="27"/>
      <c r="C43" s="27"/>
      <c r="D43" s="27"/>
      <c r="E43" s="27"/>
      <c r="F43" s="27"/>
      <c r="G43" s="56">
        <f>+G42*G41</f>
        <v>460306</v>
      </c>
      <c r="H43" s="1"/>
      <c r="I43" s="1"/>
      <c r="J43" s="7">
        <v>1137416</v>
      </c>
      <c r="K43" s="11"/>
      <c r="L43" s="1"/>
      <c r="M43" s="1"/>
    </row>
    <row r="44" spans="1:13">
      <c r="A44" s="27" t="s">
        <v>76</v>
      </c>
      <c r="B44" s="27"/>
      <c r="C44" s="27"/>
      <c r="D44" s="27"/>
      <c r="E44" s="27"/>
      <c r="F44" s="27"/>
      <c r="G44" s="56">
        <f>+G43-K22</f>
        <v>192420</v>
      </c>
      <c r="H44" s="1"/>
      <c r="I44" s="1"/>
      <c r="J44" s="7">
        <v>475470</v>
      </c>
      <c r="K44" s="11"/>
      <c r="L44" s="1"/>
      <c r="M44" s="1"/>
    </row>
    <row r="45" spans="1:13">
      <c r="A45" s="27" t="s">
        <v>77</v>
      </c>
      <c r="B45" s="27"/>
      <c r="C45" s="27"/>
      <c r="D45" s="27"/>
      <c r="E45" s="27"/>
      <c r="F45" s="27"/>
      <c r="G45" s="56">
        <f>+G43-K23</f>
        <v>216432</v>
      </c>
      <c r="H45" s="1"/>
      <c r="I45" s="1"/>
      <c r="J45" s="7">
        <v>534803</v>
      </c>
      <c r="K45" s="11"/>
      <c r="L45" s="1"/>
      <c r="M45" s="1"/>
    </row>
    <row r="46" spans="1:13">
      <c r="A46" s="27" t="s">
        <v>78</v>
      </c>
      <c r="B46" s="27"/>
      <c r="C46" s="27"/>
      <c r="D46" s="27"/>
      <c r="E46" s="27"/>
      <c r="F46" s="27"/>
      <c r="G46" s="56">
        <f>+K22/G41</f>
        <v>57.033425590802644</v>
      </c>
      <c r="H46" s="1"/>
      <c r="I46" s="1"/>
      <c r="J46" s="1"/>
      <c r="K46" s="1"/>
      <c r="L46" s="1"/>
      <c r="M46" s="1"/>
    </row>
    <row r="47" spans="1:13">
      <c r="A47" s="18" t="s">
        <v>79</v>
      </c>
      <c r="B47" s="18"/>
      <c r="C47" s="18"/>
      <c r="D47" s="18"/>
      <c r="E47" s="18"/>
      <c r="F47" s="18"/>
      <c r="G47" s="57">
        <f>+K23/G41</f>
        <v>51.921226314668935</v>
      </c>
      <c r="H47" s="1"/>
      <c r="I47" s="1"/>
      <c r="J47" s="1"/>
      <c r="K47" s="1"/>
      <c r="L47" s="1"/>
      <c r="M47" s="1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3:M54"/>
  <sheetViews>
    <sheetView topLeftCell="A19" workbookViewId="0">
      <selection activeCell="A3" sqref="A3:M54"/>
    </sheetView>
  </sheetViews>
  <sheetFormatPr defaultRowHeight="15"/>
  <sheetData>
    <row r="3" spans="1:13">
      <c r="A3" s="121" t="s">
        <v>0</v>
      </c>
      <c r="B3" s="121" t="s">
        <v>208</v>
      </c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</row>
    <row r="4" spans="1:13">
      <c r="A4" s="121"/>
      <c r="B4" s="121" t="s">
        <v>1</v>
      </c>
      <c r="C4" s="121"/>
      <c r="D4" s="121" t="s">
        <v>209</v>
      </c>
      <c r="E4" s="121"/>
      <c r="F4" s="121"/>
      <c r="G4" s="121"/>
      <c r="H4" s="121" t="s">
        <v>3</v>
      </c>
      <c r="I4" s="121"/>
      <c r="J4" s="121"/>
      <c r="K4" s="121"/>
      <c r="L4" s="121"/>
      <c r="M4" s="121"/>
    </row>
    <row r="5" spans="1:13">
      <c r="A5" s="121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</row>
    <row r="6" spans="1:13">
      <c r="A6" s="122" t="s">
        <v>4</v>
      </c>
      <c r="B6" s="122"/>
      <c r="C6" s="122"/>
      <c r="D6" s="122" t="s">
        <v>5</v>
      </c>
      <c r="E6" s="122" t="s">
        <v>6</v>
      </c>
      <c r="F6" s="122" t="s">
        <v>7</v>
      </c>
      <c r="G6" s="122" t="s">
        <v>8</v>
      </c>
      <c r="H6" s="122" t="s">
        <v>9</v>
      </c>
      <c r="I6" s="122" t="s">
        <v>10</v>
      </c>
      <c r="J6" s="122" t="s">
        <v>11</v>
      </c>
      <c r="K6" s="122" t="s">
        <v>12</v>
      </c>
      <c r="L6" s="122" t="s">
        <v>13</v>
      </c>
      <c r="M6" s="122"/>
    </row>
    <row r="7" spans="1:13">
      <c r="A7" s="123"/>
      <c r="B7" s="123"/>
      <c r="C7" s="123"/>
      <c r="D7" s="123" t="s">
        <v>14</v>
      </c>
      <c r="E7" s="123" t="s">
        <v>15</v>
      </c>
      <c r="F7" s="123" t="s">
        <v>15</v>
      </c>
      <c r="G7" s="123" t="s">
        <v>16</v>
      </c>
      <c r="H7" s="123" t="s">
        <v>17</v>
      </c>
      <c r="I7" s="123" t="s">
        <v>18</v>
      </c>
      <c r="J7" s="123" t="s">
        <v>17</v>
      </c>
      <c r="K7" s="123" t="s">
        <v>17</v>
      </c>
      <c r="L7" s="123" t="s">
        <v>19</v>
      </c>
      <c r="M7" s="123" t="s">
        <v>20</v>
      </c>
    </row>
    <row r="8" spans="1:13">
      <c r="A8" s="123"/>
      <c r="B8" s="123"/>
      <c r="C8" s="123"/>
      <c r="D8" s="123" t="s">
        <v>21</v>
      </c>
      <c r="E8" s="123"/>
      <c r="F8" s="123"/>
      <c r="G8" s="123"/>
      <c r="H8" s="123" t="s">
        <v>22</v>
      </c>
      <c r="I8" s="123" t="s">
        <v>17</v>
      </c>
      <c r="J8" s="123" t="s">
        <v>22</v>
      </c>
      <c r="K8" s="123" t="s">
        <v>22</v>
      </c>
      <c r="L8" s="123"/>
      <c r="M8" s="123"/>
    </row>
    <row r="9" spans="1:13">
      <c r="A9" s="124"/>
      <c r="B9" s="124"/>
      <c r="C9" s="124"/>
      <c r="D9" s="124"/>
      <c r="E9" s="124"/>
      <c r="F9" s="124"/>
      <c r="G9" s="124"/>
      <c r="H9" s="124"/>
      <c r="I9" s="124" t="s">
        <v>22</v>
      </c>
      <c r="J9" s="124"/>
      <c r="K9" s="124"/>
      <c r="L9" s="124"/>
      <c r="M9" s="124"/>
    </row>
    <row r="10" spans="1:13">
      <c r="A10" s="121" t="s">
        <v>24</v>
      </c>
      <c r="B10" s="121"/>
      <c r="C10" s="121"/>
      <c r="D10" s="129">
        <v>90</v>
      </c>
      <c r="E10" s="131">
        <v>0.8</v>
      </c>
      <c r="F10" s="131">
        <v>0.7</v>
      </c>
      <c r="G10" s="130">
        <v>1500</v>
      </c>
      <c r="H10" s="128">
        <f>+G10*E10</f>
        <v>1200</v>
      </c>
      <c r="I10" s="128"/>
      <c r="J10" s="128"/>
      <c r="K10" s="128">
        <f>+J10+I10+H10</f>
        <v>1200</v>
      </c>
      <c r="L10" s="121"/>
      <c r="M10" s="121"/>
    </row>
    <row r="11" spans="1:13">
      <c r="A11" s="121" t="s">
        <v>25</v>
      </c>
      <c r="B11" s="121"/>
      <c r="C11" s="121"/>
      <c r="D11" s="125">
        <v>100</v>
      </c>
      <c r="E11" s="128">
        <v>0.7</v>
      </c>
      <c r="F11" s="128">
        <v>0.7</v>
      </c>
      <c r="G11" s="127">
        <v>1133</v>
      </c>
      <c r="H11" s="128">
        <v>793</v>
      </c>
      <c r="I11" s="128">
        <v>9860</v>
      </c>
      <c r="J11" s="128"/>
      <c r="K11" s="128">
        <f t="shared" ref="K11:K22" si="0">+J11+I11+H11</f>
        <v>10653</v>
      </c>
      <c r="L11" s="133">
        <v>1557</v>
      </c>
      <c r="M11" s="121"/>
    </row>
    <row r="12" spans="1:13">
      <c r="A12" s="132" t="s">
        <v>34</v>
      </c>
      <c r="B12" s="121"/>
      <c r="C12" s="121"/>
      <c r="D12" s="129">
        <v>100</v>
      </c>
      <c r="E12" s="131">
        <v>10.5</v>
      </c>
      <c r="F12" s="131">
        <v>0.7</v>
      </c>
      <c r="G12" s="130">
        <v>1500</v>
      </c>
      <c r="H12" s="128">
        <v>15750</v>
      </c>
      <c r="I12" s="131"/>
      <c r="J12" s="128"/>
      <c r="K12" s="128">
        <f t="shared" si="0"/>
        <v>15750</v>
      </c>
      <c r="L12" s="121"/>
      <c r="M12" s="121"/>
    </row>
    <row r="13" spans="1:13">
      <c r="A13" s="121" t="s">
        <v>210</v>
      </c>
      <c r="B13" s="121"/>
      <c r="C13" s="121"/>
      <c r="D13" s="125">
        <v>100</v>
      </c>
      <c r="E13" s="158">
        <v>3.5</v>
      </c>
      <c r="F13" s="158">
        <v>3.5</v>
      </c>
      <c r="G13" s="159">
        <v>1185</v>
      </c>
      <c r="H13" s="160">
        <v>4138</v>
      </c>
      <c r="I13" s="128"/>
      <c r="J13" s="128"/>
      <c r="K13" s="128">
        <f t="shared" si="0"/>
        <v>4138</v>
      </c>
      <c r="L13" s="121"/>
      <c r="M13" s="121"/>
    </row>
    <row r="14" spans="1:13">
      <c r="A14" s="121" t="s">
        <v>114</v>
      </c>
      <c r="B14" s="121"/>
      <c r="C14" s="121"/>
      <c r="D14" s="135">
        <v>100</v>
      </c>
      <c r="E14" s="128">
        <v>8.3000000000000007</v>
      </c>
      <c r="F14" s="128">
        <v>0.1</v>
      </c>
      <c r="G14" s="128">
        <v>797</v>
      </c>
      <c r="H14" s="128">
        <v>6615</v>
      </c>
      <c r="I14" s="128"/>
      <c r="J14" s="128">
        <f>+G31*E31</f>
        <v>142688</v>
      </c>
      <c r="K14" s="128">
        <f t="shared" si="0"/>
        <v>149303</v>
      </c>
      <c r="L14" s="121"/>
      <c r="M14" s="128"/>
    </row>
    <row r="15" spans="1:13">
      <c r="A15" s="121" t="s">
        <v>36</v>
      </c>
      <c r="B15" s="121"/>
      <c r="C15" s="121"/>
      <c r="D15" s="125">
        <v>100</v>
      </c>
      <c r="E15" s="128">
        <v>4.7</v>
      </c>
      <c r="F15" s="128">
        <v>1</v>
      </c>
      <c r="G15" s="127">
        <v>1438</v>
      </c>
      <c r="H15" s="128">
        <v>6759</v>
      </c>
      <c r="I15" s="128"/>
      <c r="J15" s="128">
        <v>21860</v>
      </c>
      <c r="K15" s="128">
        <f t="shared" si="0"/>
        <v>28619</v>
      </c>
      <c r="L15" s="121"/>
      <c r="M15" s="133"/>
    </row>
    <row r="16" spans="1:13">
      <c r="A16" s="121" t="s">
        <v>211</v>
      </c>
      <c r="B16" s="121"/>
      <c r="C16" s="121"/>
      <c r="D16" s="125">
        <v>100</v>
      </c>
      <c r="E16" s="128">
        <v>10.199999999999999</v>
      </c>
      <c r="F16" s="128">
        <v>10.199999999999999</v>
      </c>
      <c r="G16" s="127">
        <v>796</v>
      </c>
      <c r="H16" s="128">
        <v>8119</v>
      </c>
      <c r="I16" s="128"/>
      <c r="J16" s="128"/>
      <c r="K16" s="128">
        <f t="shared" si="0"/>
        <v>8119</v>
      </c>
      <c r="L16" s="121"/>
      <c r="M16" s="133"/>
    </row>
    <row r="17" spans="1:13">
      <c r="A17" s="121" t="s">
        <v>38</v>
      </c>
      <c r="B17" s="121"/>
      <c r="C17" s="121"/>
      <c r="D17" s="125">
        <v>90</v>
      </c>
      <c r="E17" s="128">
        <v>0.6</v>
      </c>
      <c r="F17" s="128">
        <v>0.2</v>
      </c>
      <c r="G17" s="127">
        <v>1500</v>
      </c>
      <c r="H17" s="128">
        <v>900</v>
      </c>
      <c r="I17" s="128"/>
      <c r="J17" s="128">
        <v>2349</v>
      </c>
      <c r="K17" s="128">
        <f t="shared" si="0"/>
        <v>3249</v>
      </c>
      <c r="L17" s="121"/>
      <c r="M17" s="133"/>
    </row>
    <row r="18" spans="1:13">
      <c r="A18" s="121" t="s">
        <v>39</v>
      </c>
      <c r="B18" s="121"/>
      <c r="C18" s="121"/>
      <c r="D18" s="125">
        <v>97</v>
      </c>
      <c r="E18" s="128">
        <v>1.6</v>
      </c>
      <c r="F18" s="128">
        <v>0.3</v>
      </c>
      <c r="G18" s="127">
        <v>1500</v>
      </c>
      <c r="H18" s="128">
        <v>2400</v>
      </c>
      <c r="I18" s="128"/>
      <c r="J18" s="128">
        <v>9068</v>
      </c>
      <c r="K18" s="128">
        <f t="shared" si="0"/>
        <v>11468</v>
      </c>
      <c r="L18" s="121"/>
      <c r="M18" s="133"/>
    </row>
    <row r="19" spans="1:13">
      <c r="A19" s="121" t="s">
        <v>40</v>
      </c>
      <c r="B19" s="121"/>
      <c r="C19" s="121"/>
      <c r="D19" s="125">
        <v>100</v>
      </c>
      <c r="E19" s="128">
        <v>17.899999999999999</v>
      </c>
      <c r="F19" s="128">
        <v>16.3</v>
      </c>
      <c r="G19" s="127">
        <v>1500</v>
      </c>
      <c r="H19" s="128">
        <v>26850</v>
      </c>
      <c r="I19" s="128">
        <v>9038</v>
      </c>
      <c r="J19" s="128"/>
      <c r="K19" s="128">
        <f t="shared" si="0"/>
        <v>35888</v>
      </c>
      <c r="L19" s="121"/>
      <c r="M19" s="121"/>
    </row>
    <row r="20" spans="1:13">
      <c r="A20" s="121" t="s">
        <v>143</v>
      </c>
      <c r="B20" s="121"/>
      <c r="C20" s="121"/>
      <c r="D20" s="125">
        <v>100</v>
      </c>
      <c r="E20" s="128">
        <v>12.2</v>
      </c>
      <c r="F20" s="128">
        <v>1</v>
      </c>
      <c r="G20" s="127">
        <v>1133</v>
      </c>
      <c r="H20" s="128">
        <v>13823</v>
      </c>
      <c r="I20" s="128"/>
      <c r="J20" s="128"/>
      <c r="K20" s="128">
        <f t="shared" si="0"/>
        <v>13823</v>
      </c>
      <c r="L20" s="121"/>
      <c r="M20" s="121"/>
    </row>
    <row r="21" spans="1:13">
      <c r="A21" s="121" t="s">
        <v>41</v>
      </c>
      <c r="B21" s="121"/>
      <c r="C21" s="121"/>
      <c r="D21" s="155">
        <v>100</v>
      </c>
      <c r="E21" s="128">
        <v>17.600000000000001</v>
      </c>
      <c r="F21" s="128">
        <v>0</v>
      </c>
      <c r="G21" s="128">
        <v>800</v>
      </c>
      <c r="H21" s="128">
        <v>14080</v>
      </c>
      <c r="I21" s="128"/>
      <c r="J21" s="128"/>
      <c r="K21" s="128">
        <f t="shared" si="0"/>
        <v>14080</v>
      </c>
      <c r="L21" s="121"/>
      <c r="M21" s="121"/>
    </row>
    <row r="22" spans="1:13">
      <c r="A22" s="121" t="s">
        <v>42</v>
      </c>
      <c r="B22" s="121"/>
      <c r="C22" s="121"/>
      <c r="D22" s="125">
        <v>67</v>
      </c>
      <c r="E22" s="128">
        <v>0.3</v>
      </c>
      <c r="F22" s="128">
        <v>0.3</v>
      </c>
      <c r="G22" s="127">
        <v>1500</v>
      </c>
      <c r="H22" s="128">
        <v>450</v>
      </c>
      <c r="I22" s="128">
        <v>2600</v>
      </c>
      <c r="J22" s="128"/>
      <c r="K22" s="128">
        <f t="shared" si="0"/>
        <v>3050</v>
      </c>
      <c r="L22" s="121"/>
      <c r="M22" s="121"/>
    </row>
    <row r="23" spans="1:13">
      <c r="A23" s="136" t="s">
        <v>43</v>
      </c>
      <c r="B23" s="136"/>
      <c r="C23" s="136"/>
      <c r="D23" s="137"/>
      <c r="E23" s="138">
        <f>SUM(E10:E22)</f>
        <v>88.899999999999991</v>
      </c>
      <c r="F23" s="138">
        <f>SUM(F10:F22)</f>
        <v>35</v>
      </c>
      <c r="G23" s="138"/>
      <c r="H23" s="138">
        <f>SUM(H10:H22)</f>
        <v>101877</v>
      </c>
      <c r="I23" s="138">
        <f t="shared" ref="I23:M23" si="1">SUM(I10:I22)</f>
        <v>21498</v>
      </c>
      <c r="J23" s="138">
        <f t="shared" si="1"/>
        <v>175965</v>
      </c>
      <c r="K23" s="138">
        <f t="shared" si="1"/>
        <v>299340</v>
      </c>
      <c r="L23" s="138">
        <f t="shared" si="1"/>
        <v>1557</v>
      </c>
      <c r="M23" s="138">
        <f t="shared" si="1"/>
        <v>0</v>
      </c>
    </row>
    <row r="24" spans="1:13">
      <c r="A24" s="139" t="s">
        <v>44</v>
      </c>
      <c r="B24" s="139"/>
      <c r="C24" s="139"/>
      <c r="D24" s="140"/>
      <c r="E24" s="141">
        <f>SUM(E23-F23)</f>
        <v>53.899999999999991</v>
      </c>
      <c r="F24" s="141"/>
      <c r="G24" s="141"/>
      <c r="H24" s="141">
        <f>SUM(E34*G34)</f>
        <v>61830</v>
      </c>
      <c r="I24" s="141">
        <f>I23-L23</f>
        <v>19941</v>
      </c>
      <c r="J24" s="141">
        <f>J23-M23</f>
        <v>175965</v>
      </c>
      <c r="K24" s="141">
        <f>SUM(H24:J24)</f>
        <v>257736</v>
      </c>
      <c r="L24" s="139"/>
      <c r="M24" s="139"/>
    </row>
    <row r="25" spans="1:13">
      <c r="A25" s="134"/>
      <c r="B25" s="121"/>
      <c r="C25" s="121"/>
      <c r="D25" s="121"/>
      <c r="E25" s="121"/>
      <c r="F25" s="121"/>
      <c r="G25" s="128"/>
      <c r="H25" s="121"/>
      <c r="I25" s="128"/>
      <c r="J25" s="121"/>
      <c r="K25" s="128"/>
      <c r="L25" s="121"/>
      <c r="M25" s="121"/>
    </row>
    <row r="26" spans="1:13">
      <c r="A26" s="121"/>
      <c r="B26" s="121"/>
      <c r="C26" s="121" t="s">
        <v>45</v>
      </c>
      <c r="D26" s="121"/>
      <c r="E26" s="121"/>
      <c r="F26" s="121"/>
      <c r="G26" s="121"/>
      <c r="H26" s="133"/>
      <c r="I26" s="121"/>
      <c r="J26" s="128"/>
      <c r="K26" s="128"/>
      <c r="L26" s="121"/>
      <c r="M26" s="121"/>
    </row>
    <row r="27" spans="1:13">
      <c r="A27" s="121"/>
      <c r="B27" s="121"/>
      <c r="C27" s="121"/>
      <c r="D27" s="121"/>
      <c r="E27" s="121"/>
      <c r="F27" s="121"/>
      <c r="G27" s="121"/>
      <c r="H27" s="133"/>
      <c r="I27" s="121"/>
      <c r="J27" s="121"/>
      <c r="K27" s="128"/>
      <c r="L27" s="121"/>
      <c r="M27" s="121"/>
    </row>
    <row r="28" spans="1:13">
      <c r="A28" s="121" t="s">
        <v>46</v>
      </c>
      <c r="B28" s="121"/>
      <c r="C28" s="121"/>
      <c r="D28" s="121"/>
      <c r="E28" s="121"/>
      <c r="F28" s="121"/>
      <c r="G28" s="121"/>
      <c r="H28" s="121"/>
      <c r="I28" s="121"/>
      <c r="J28" s="121"/>
      <c r="K28" s="128"/>
      <c r="L28" s="121"/>
      <c r="M28" s="121"/>
    </row>
    <row r="29" spans="1:13">
      <c r="A29" s="142" t="s">
        <v>47</v>
      </c>
      <c r="B29" s="142"/>
      <c r="C29" s="142"/>
      <c r="D29" s="142" t="s">
        <v>48</v>
      </c>
      <c r="E29" s="142" t="s">
        <v>49</v>
      </c>
      <c r="F29" s="142"/>
      <c r="G29" s="142" t="s">
        <v>50</v>
      </c>
      <c r="H29" s="121"/>
      <c r="I29" s="156" t="s">
        <v>51</v>
      </c>
      <c r="J29" s="157" t="s">
        <v>52</v>
      </c>
      <c r="K29" s="121"/>
      <c r="L29" s="121"/>
      <c r="M29" s="121"/>
    </row>
    <row r="30" spans="1:13">
      <c r="A30" s="121" t="s">
        <v>53</v>
      </c>
      <c r="B30" s="121"/>
      <c r="C30" s="121"/>
      <c r="D30" s="121"/>
      <c r="E30" s="121"/>
      <c r="F30" s="121"/>
      <c r="G30" s="121"/>
      <c r="H30" s="121"/>
      <c r="I30" s="161" t="s">
        <v>205</v>
      </c>
      <c r="J30" s="162">
        <v>100</v>
      </c>
      <c r="K30" s="121"/>
      <c r="L30" s="121"/>
      <c r="M30" s="121"/>
    </row>
    <row r="31" spans="1:13">
      <c r="A31" s="121" t="s">
        <v>55</v>
      </c>
      <c r="B31" s="132"/>
      <c r="C31" s="121"/>
      <c r="D31" s="143" t="s">
        <v>56</v>
      </c>
      <c r="E31" s="128">
        <v>686</v>
      </c>
      <c r="F31" s="128"/>
      <c r="G31" s="128">
        <v>208</v>
      </c>
      <c r="H31" s="121"/>
      <c r="I31" s="144"/>
      <c r="J31" s="145"/>
      <c r="K31" s="121"/>
      <c r="L31" s="121"/>
      <c r="M31" s="121"/>
    </row>
    <row r="32" spans="1:13">
      <c r="A32" s="121"/>
      <c r="B32" s="121"/>
      <c r="C32" s="121"/>
      <c r="D32" s="143"/>
      <c r="E32" s="132"/>
      <c r="F32" s="121"/>
      <c r="G32" s="132"/>
      <c r="H32" s="121"/>
      <c r="I32" s="144"/>
      <c r="J32" s="145"/>
      <c r="K32" s="121"/>
      <c r="L32" s="121"/>
      <c r="M32" s="121"/>
    </row>
    <row r="33" spans="1:13">
      <c r="A33" s="121" t="s">
        <v>57</v>
      </c>
      <c r="B33" s="121"/>
      <c r="C33" s="121"/>
      <c r="D33" s="121"/>
      <c r="E33" s="121"/>
      <c r="F33" s="121"/>
      <c r="G33" s="121"/>
      <c r="H33" s="121"/>
      <c r="I33" s="121"/>
      <c r="J33" s="121"/>
      <c r="K33" s="133"/>
      <c r="L33" s="121"/>
      <c r="M33" s="121"/>
    </row>
    <row r="34" spans="1:13">
      <c r="A34" s="121" t="s">
        <v>58</v>
      </c>
      <c r="B34" s="121"/>
      <c r="C34" s="121"/>
      <c r="D34" s="121" t="s">
        <v>59</v>
      </c>
      <c r="E34" s="133">
        <v>54</v>
      </c>
      <c r="F34" s="133"/>
      <c r="G34" s="128">
        <v>1145</v>
      </c>
      <c r="H34" s="121"/>
      <c r="I34" s="136" t="s">
        <v>60</v>
      </c>
      <c r="J34" s="138">
        <v>1.6</v>
      </c>
      <c r="K34" s="133"/>
      <c r="L34" s="121"/>
      <c r="M34" s="121"/>
    </row>
    <row r="35" spans="1:13">
      <c r="A35" s="121" t="s">
        <v>61</v>
      </c>
      <c r="B35" s="121"/>
      <c r="C35" s="121"/>
      <c r="D35" s="121" t="s">
        <v>59</v>
      </c>
      <c r="E35" s="133">
        <v>35</v>
      </c>
      <c r="F35" s="133"/>
      <c r="G35" s="133"/>
      <c r="H35" s="121"/>
      <c r="I35" s="139" t="s">
        <v>62</v>
      </c>
      <c r="J35" s="141">
        <v>1</v>
      </c>
      <c r="K35" s="121"/>
      <c r="L35" s="121"/>
      <c r="M35" s="121"/>
    </row>
    <row r="36" spans="1:13">
      <c r="A36" s="121" t="s">
        <v>6</v>
      </c>
      <c r="B36" s="121"/>
      <c r="C36" s="121"/>
      <c r="D36" s="121"/>
      <c r="E36" s="133">
        <f>+E35+E34</f>
        <v>89</v>
      </c>
      <c r="F36" s="133"/>
      <c r="G36" s="133"/>
      <c r="H36" s="121"/>
      <c r="I36" s="121"/>
      <c r="J36" s="121"/>
      <c r="K36" s="135"/>
      <c r="L36" s="121"/>
      <c r="M36" s="121"/>
    </row>
    <row r="37" spans="1:13">
      <c r="A37" s="121"/>
      <c r="B37" s="121"/>
      <c r="C37" s="121"/>
      <c r="D37" s="121"/>
      <c r="E37" s="133"/>
      <c r="F37" s="121"/>
      <c r="G37" s="121"/>
      <c r="H37" s="121"/>
      <c r="I37" s="121"/>
      <c r="J37" s="121"/>
      <c r="K37" s="121"/>
      <c r="L37" s="121"/>
      <c r="M37" s="121"/>
    </row>
    <row r="38" spans="1:13">
      <c r="A38" s="136" t="s">
        <v>63</v>
      </c>
      <c r="B38" s="136"/>
      <c r="C38" s="136" t="s">
        <v>64</v>
      </c>
      <c r="D38" s="136"/>
      <c r="E38" s="136"/>
      <c r="F38" s="136"/>
      <c r="G38" s="136"/>
      <c r="H38" s="121"/>
      <c r="I38" s="121"/>
      <c r="J38" s="121"/>
      <c r="K38" s="121"/>
      <c r="L38" s="121"/>
      <c r="M38" s="121"/>
    </row>
    <row r="39" spans="1:13">
      <c r="A39" s="121"/>
      <c r="B39" s="123"/>
      <c r="C39" s="148"/>
      <c r="D39" s="144"/>
      <c r="E39" s="144"/>
      <c r="F39" s="144"/>
      <c r="G39" s="144"/>
      <c r="H39" s="121"/>
      <c r="I39" s="121"/>
      <c r="J39" s="121"/>
      <c r="K39" s="121"/>
      <c r="L39" s="121"/>
      <c r="M39" s="121"/>
    </row>
    <row r="40" spans="1:13">
      <c r="A40" s="144" t="s">
        <v>65</v>
      </c>
      <c r="B40" s="123"/>
      <c r="C40" s="146">
        <v>77</v>
      </c>
      <c r="D40" s="147" t="s">
        <v>66</v>
      </c>
      <c r="E40" s="149">
        <v>61</v>
      </c>
      <c r="F40" s="150"/>
      <c r="G40" s="149">
        <v>27</v>
      </c>
      <c r="H40" s="121"/>
      <c r="I40" s="121"/>
      <c r="J40" s="121"/>
      <c r="K40" s="121"/>
      <c r="L40" s="121"/>
      <c r="M40" s="121"/>
    </row>
    <row r="41" spans="1:13">
      <c r="A41" s="144" t="s">
        <v>67</v>
      </c>
      <c r="B41" s="123"/>
      <c r="C41" s="146">
        <v>90</v>
      </c>
      <c r="D41" s="147" t="s">
        <v>66</v>
      </c>
      <c r="E41" s="150">
        <v>62</v>
      </c>
      <c r="F41" s="150"/>
      <c r="G41" s="150">
        <v>28</v>
      </c>
      <c r="H41" s="121"/>
      <c r="I41" s="121"/>
      <c r="J41" s="121"/>
      <c r="K41" s="121"/>
      <c r="L41" s="121"/>
      <c r="M41" s="121"/>
    </row>
    <row r="42" spans="1:13">
      <c r="A42" s="144" t="s">
        <v>169</v>
      </c>
      <c r="B42" s="123"/>
      <c r="C42" s="146">
        <v>67</v>
      </c>
      <c r="D42" s="147" t="s">
        <v>69</v>
      </c>
      <c r="E42" s="150">
        <v>56</v>
      </c>
      <c r="F42" s="150"/>
      <c r="G42" s="150">
        <v>31</v>
      </c>
      <c r="H42" s="121"/>
      <c r="I42" s="121"/>
      <c r="J42" s="121"/>
      <c r="K42" s="121"/>
      <c r="L42" s="121"/>
      <c r="M42" s="121"/>
    </row>
    <row r="43" spans="1:13">
      <c r="A43" s="121" t="s">
        <v>206</v>
      </c>
      <c r="B43" s="123"/>
      <c r="C43" s="146">
        <v>100</v>
      </c>
      <c r="D43" s="147" t="s">
        <v>212</v>
      </c>
      <c r="E43" s="163">
        <v>1.9</v>
      </c>
      <c r="F43" s="144"/>
      <c r="G43" s="164">
        <v>8811</v>
      </c>
      <c r="H43" s="121"/>
      <c r="I43" s="121"/>
      <c r="J43" s="121"/>
      <c r="K43" s="121"/>
      <c r="L43" s="121"/>
      <c r="M43" s="121"/>
    </row>
    <row r="44" spans="1:13">
      <c r="A44" s="121"/>
      <c r="B44" s="165"/>
      <c r="C44" s="148"/>
      <c r="D44" s="144"/>
      <c r="E44" s="144"/>
      <c r="F44" s="144"/>
      <c r="G44" s="144"/>
      <c r="H44" s="121"/>
      <c r="I44" s="121"/>
      <c r="J44" s="121"/>
      <c r="K44" s="121"/>
      <c r="L44" s="121"/>
      <c r="M44" s="121"/>
    </row>
    <row r="45" spans="1:13">
      <c r="A45" s="136" t="s">
        <v>70</v>
      </c>
      <c r="B45" s="136"/>
      <c r="C45" s="136"/>
      <c r="D45" s="136"/>
      <c r="E45" s="136"/>
      <c r="F45" s="136"/>
      <c r="G45" s="136"/>
      <c r="H45" s="121"/>
      <c r="I45" s="121" t="s">
        <v>71</v>
      </c>
      <c r="J45" s="121"/>
      <c r="K45" s="121"/>
      <c r="L45" s="121"/>
      <c r="M45" s="121"/>
    </row>
    <row r="46" spans="1:13">
      <c r="A46" s="144" t="s">
        <v>72</v>
      </c>
      <c r="B46" s="144"/>
      <c r="C46" s="144"/>
      <c r="D46" s="144"/>
      <c r="E46" s="144"/>
      <c r="F46" s="144"/>
      <c r="G46" s="151">
        <v>5258</v>
      </c>
      <c r="H46" s="121"/>
      <c r="I46" s="128">
        <v>12993</v>
      </c>
      <c r="J46" s="133"/>
      <c r="K46" s="133"/>
      <c r="L46" s="121"/>
      <c r="M46" s="121"/>
    </row>
    <row r="47" spans="1:13">
      <c r="A47" s="144" t="s">
        <v>74</v>
      </c>
      <c r="B47" s="144"/>
      <c r="C47" s="144"/>
      <c r="D47" s="144"/>
      <c r="E47" s="144"/>
      <c r="F47" s="144"/>
      <c r="G47" s="152">
        <v>135</v>
      </c>
      <c r="H47" s="121"/>
      <c r="I47" s="128"/>
      <c r="J47" s="133"/>
      <c r="K47" s="133"/>
      <c r="L47" s="121"/>
      <c r="M47" s="121"/>
    </row>
    <row r="48" spans="1:13">
      <c r="A48" s="144" t="s">
        <v>75</v>
      </c>
      <c r="B48" s="144"/>
      <c r="C48" s="144"/>
      <c r="D48" s="144"/>
      <c r="E48" s="144"/>
      <c r="F48" s="144"/>
      <c r="G48" s="152">
        <f>+G46*G47</f>
        <v>709830</v>
      </c>
      <c r="H48" s="153"/>
      <c r="I48" s="128">
        <v>1753990</v>
      </c>
      <c r="J48" s="133"/>
      <c r="K48" s="133"/>
      <c r="L48" s="121"/>
      <c r="M48" s="121"/>
    </row>
    <row r="49" spans="1:13">
      <c r="A49" s="144" t="s">
        <v>76</v>
      </c>
      <c r="B49" s="144"/>
      <c r="C49" s="144"/>
      <c r="D49" s="144"/>
      <c r="E49" s="144"/>
      <c r="F49" s="144"/>
      <c r="G49" s="152">
        <f>+G48-K23</f>
        <v>410490</v>
      </c>
      <c r="H49" s="153"/>
      <c r="I49" s="128">
        <v>1014321</v>
      </c>
      <c r="J49" s="133"/>
      <c r="K49" s="133"/>
      <c r="L49" s="121"/>
      <c r="M49" s="121"/>
    </row>
    <row r="50" spans="1:13">
      <c r="A50" s="144" t="s">
        <v>77</v>
      </c>
      <c r="B50" s="144"/>
      <c r="C50" s="144"/>
      <c r="D50" s="144"/>
      <c r="E50" s="144"/>
      <c r="F50" s="144"/>
      <c r="G50" s="152">
        <f>+G48-K24</f>
        <v>452094</v>
      </c>
      <c r="H50" s="153"/>
      <c r="I50" s="128">
        <v>1117124</v>
      </c>
      <c r="J50" s="133"/>
      <c r="K50" s="133"/>
      <c r="L50" s="121"/>
      <c r="M50" s="121"/>
    </row>
    <row r="51" spans="1:13">
      <c r="A51" s="144"/>
      <c r="B51" s="144"/>
      <c r="C51" s="144"/>
      <c r="D51" s="144"/>
      <c r="E51" s="144"/>
      <c r="F51" s="144"/>
      <c r="G51" s="152"/>
      <c r="H51" s="153"/>
      <c r="I51" s="153"/>
      <c r="J51" s="121"/>
      <c r="K51" s="121"/>
      <c r="L51" s="121"/>
      <c r="M51" s="121"/>
    </row>
    <row r="52" spans="1:13">
      <c r="A52" s="144" t="s">
        <v>78</v>
      </c>
      <c r="B52" s="144"/>
      <c r="C52" s="144"/>
      <c r="D52" s="144"/>
      <c r="E52" s="144"/>
      <c r="F52" s="144"/>
      <c r="G52" s="152">
        <f>+K23/G46</f>
        <v>56.930391783948266</v>
      </c>
      <c r="H52" s="121"/>
      <c r="I52" s="121"/>
      <c r="J52" s="121"/>
      <c r="K52" s="121"/>
      <c r="L52" s="121"/>
      <c r="M52" s="121"/>
    </row>
    <row r="53" spans="1:13">
      <c r="A53" s="139" t="s">
        <v>79</v>
      </c>
      <c r="B53" s="139"/>
      <c r="C53" s="139"/>
      <c r="D53" s="139"/>
      <c r="E53" s="139"/>
      <c r="F53" s="139"/>
      <c r="G53" s="154">
        <f>+K24/G46</f>
        <v>49.017877519969574</v>
      </c>
      <c r="H53" s="121"/>
      <c r="I53" s="121"/>
      <c r="J53" s="121"/>
      <c r="K53" s="121"/>
      <c r="L53" s="121"/>
      <c r="M53" s="121"/>
    </row>
    <row r="54" spans="1:13">
      <c r="A54" s="121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81"/>
  <sheetViews>
    <sheetView topLeftCell="A10" workbookViewId="0">
      <selection activeCell="A2" sqref="A2:M81"/>
    </sheetView>
  </sheetViews>
  <sheetFormatPr defaultRowHeight="15"/>
  <sheetData>
    <row r="1" spans="1:13">
      <c r="A1" s="170"/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</row>
    <row r="2" spans="1:13">
      <c r="A2" s="21" t="s">
        <v>0</v>
      </c>
      <c r="B2" s="21" t="s">
        <v>381</v>
      </c>
      <c r="C2" s="21"/>
      <c r="D2" s="21"/>
      <c r="E2" s="21"/>
      <c r="F2" s="21"/>
      <c r="G2" s="21"/>
      <c r="H2" s="21"/>
      <c r="I2" s="21"/>
      <c r="J2" s="21" t="s">
        <v>382</v>
      </c>
      <c r="K2" s="1"/>
      <c r="L2" s="1"/>
      <c r="M2" s="1"/>
    </row>
    <row r="3" spans="1:1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255" t="s">
        <v>4</v>
      </c>
      <c r="B5" s="255"/>
      <c r="C5" s="255"/>
      <c r="D5" s="255" t="s">
        <v>5</v>
      </c>
      <c r="E5" s="255" t="s">
        <v>6</v>
      </c>
      <c r="F5" s="255" t="s">
        <v>7</v>
      </c>
      <c r="G5" s="255" t="s">
        <v>8</v>
      </c>
      <c r="H5" s="255" t="s">
        <v>9</v>
      </c>
      <c r="I5" s="255" t="s">
        <v>10</v>
      </c>
      <c r="J5" s="255" t="s">
        <v>11</v>
      </c>
      <c r="K5" s="255" t="s">
        <v>12</v>
      </c>
      <c r="L5" s="255" t="s">
        <v>383</v>
      </c>
      <c r="M5" s="255"/>
    </row>
    <row r="6" spans="1:13">
      <c r="A6" s="256"/>
      <c r="B6" s="256"/>
      <c r="C6" s="256"/>
      <c r="D6" s="256" t="s">
        <v>320</v>
      </c>
      <c r="E6" s="256" t="s">
        <v>321</v>
      </c>
      <c r="F6" s="256" t="s">
        <v>321</v>
      </c>
      <c r="G6" s="256" t="s">
        <v>16</v>
      </c>
      <c r="H6" s="256" t="s">
        <v>378</v>
      </c>
      <c r="I6" s="256" t="s">
        <v>324</v>
      </c>
      <c r="J6" s="256" t="s">
        <v>384</v>
      </c>
      <c r="K6" s="256" t="s">
        <v>385</v>
      </c>
      <c r="L6" s="256" t="s">
        <v>326</v>
      </c>
      <c r="M6" s="256" t="s">
        <v>327</v>
      </c>
    </row>
    <row r="7" spans="1:13">
      <c r="A7" s="257"/>
      <c r="B7" s="257"/>
      <c r="C7" s="257"/>
      <c r="D7" s="257" t="s">
        <v>21</v>
      </c>
      <c r="E7" s="257"/>
      <c r="F7" s="257"/>
      <c r="G7" s="257"/>
      <c r="H7" s="257" t="s">
        <v>354</v>
      </c>
      <c r="I7" s="257" t="s">
        <v>378</v>
      </c>
      <c r="J7" s="257"/>
      <c r="K7" s="257"/>
      <c r="L7" s="257"/>
      <c r="M7" s="257"/>
    </row>
    <row r="8" spans="1:13">
      <c r="A8" s="1" t="s">
        <v>94</v>
      </c>
      <c r="B8" s="1"/>
      <c r="C8" s="1"/>
      <c r="D8" s="8">
        <v>61</v>
      </c>
      <c r="E8" s="13">
        <v>1.2</v>
      </c>
      <c r="F8" s="13">
        <v>0.8</v>
      </c>
      <c r="G8" s="10">
        <v>1250</v>
      </c>
      <c r="H8" s="7">
        <f>+G8*E8</f>
        <v>1500</v>
      </c>
      <c r="I8" s="1"/>
      <c r="J8" s="7"/>
      <c r="K8" s="7">
        <f>+J8+I8+H8</f>
        <v>1500</v>
      </c>
      <c r="L8" s="7"/>
      <c r="M8" s="7"/>
    </row>
    <row r="9" spans="1:13">
      <c r="A9" s="1" t="s">
        <v>244</v>
      </c>
      <c r="B9" s="1"/>
      <c r="C9" s="1"/>
      <c r="D9" s="4">
        <v>54</v>
      </c>
      <c r="E9" s="7">
        <v>0.1</v>
      </c>
      <c r="F9" s="7">
        <v>0.1</v>
      </c>
      <c r="G9" s="6">
        <v>1250</v>
      </c>
      <c r="H9" s="7">
        <f t="shared" ref="H9:H15" si="0">+G9*E9</f>
        <v>125</v>
      </c>
      <c r="I9" s="7">
        <v>5338</v>
      </c>
      <c r="J9" s="7"/>
      <c r="K9" s="7">
        <f t="shared" ref="K9:K15" si="1">+J9+I9+H9</f>
        <v>5463</v>
      </c>
      <c r="L9" s="11">
        <v>1097</v>
      </c>
      <c r="M9" s="11"/>
    </row>
    <row r="10" spans="1:13">
      <c r="A10" s="12" t="s">
        <v>386</v>
      </c>
      <c r="B10" s="1"/>
      <c r="C10" s="1"/>
      <c r="D10" s="8" t="s">
        <v>140</v>
      </c>
      <c r="E10" s="7"/>
      <c r="F10" s="7"/>
      <c r="G10" s="6"/>
      <c r="H10" s="7"/>
      <c r="I10" s="12" t="s">
        <v>141</v>
      </c>
      <c r="J10" s="7"/>
      <c r="K10" s="7"/>
      <c r="L10" s="11"/>
      <c r="M10" s="11"/>
    </row>
    <row r="11" spans="1:13">
      <c r="A11" s="1" t="s">
        <v>142</v>
      </c>
      <c r="B11" s="1"/>
      <c r="C11" s="1"/>
      <c r="D11" s="4">
        <v>100</v>
      </c>
      <c r="E11" s="7">
        <v>0.3</v>
      </c>
      <c r="F11" s="7">
        <v>0.3</v>
      </c>
      <c r="G11" s="6">
        <v>1250</v>
      </c>
      <c r="H11" s="7">
        <f t="shared" si="0"/>
        <v>375</v>
      </c>
      <c r="I11" s="1"/>
      <c r="J11" s="7">
        <v>1519</v>
      </c>
      <c r="K11" s="7">
        <f t="shared" si="1"/>
        <v>1894</v>
      </c>
      <c r="L11" s="11"/>
      <c r="M11" s="11">
        <v>644</v>
      </c>
    </row>
    <row r="12" spans="1:13">
      <c r="A12" s="1" t="s">
        <v>143</v>
      </c>
      <c r="B12" s="1"/>
      <c r="C12" s="1"/>
      <c r="D12" s="4">
        <v>100</v>
      </c>
      <c r="E12" s="7">
        <v>6.5</v>
      </c>
      <c r="F12" s="7">
        <v>2.5</v>
      </c>
      <c r="G12" s="6">
        <v>1331</v>
      </c>
      <c r="H12" s="7">
        <v>8652</v>
      </c>
      <c r="I12" s="1"/>
      <c r="J12" s="7"/>
      <c r="K12" s="7">
        <f t="shared" si="1"/>
        <v>8652</v>
      </c>
      <c r="L12" s="11"/>
      <c r="M12" s="11"/>
    </row>
    <row r="13" spans="1:13">
      <c r="A13" s="1" t="s">
        <v>144</v>
      </c>
      <c r="B13" s="1"/>
      <c r="C13" s="1"/>
      <c r="D13" s="8">
        <v>100</v>
      </c>
      <c r="E13" s="13">
        <v>1.8</v>
      </c>
      <c r="F13" s="13">
        <v>1.3</v>
      </c>
      <c r="G13" s="10">
        <v>1050</v>
      </c>
      <c r="H13" s="7">
        <f t="shared" si="0"/>
        <v>1890</v>
      </c>
      <c r="I13" s="1"/>
      <c r="J13" s="7"/>
      <c r="K13" s="7">
        <f t="shared" si="1"/>
        <v>1890</v>
      </c>
      <c r="L13" s="11"/>
      <c r="M13" s="11"/>
    </row>
    <row r="14" spans="1:13">
      <c r="A14" s="1" t="s">
        <v>145</v>
      </c>
      <c r="B14" s="1"/>
      <c r="C14" s="1"/>
      <c r="D14" s="4">
        <v>54</v>
      </c>
      <c r="E14" s="7">
        <v>0.9</v>
      </c>
      <c r="F14" s="7">
        <v>0.9</v>
      </c>
      <c r="G14" s="6">
        <v>1050</v>
      </c>
      <c r="H14" s="7">
        <f t="shared" si="0"/>
        <v>945</v>
      </c>
      <c r="I14" s="1"/>
      <c r="J14" s="7"/>
      <c r="K14" s="7">
        <f t="shared" si="1"/>
        <v>945</v>
      </c>
      <c r="L14" s="11"/>
      <c r="M14" s="11"/>
    </row>
    <row r="15" spans="1:13">
      <c r="A15" s="1" t="s">
        <v>42</v>
      </c>
      <c r="B15" s="1"/>
      <c r="C15" s="1"/>
      <c r="D15" s="4">
        <v>54</v>
      </c>
      <c r="E15" s="7">
        <v>0.3</v>
      </c>
      <c r="F15" s="7">
        <v>0.2</v>
      </c>
      <c r="G15" s="6">
        <v>1200</v>
      </c>
      <c r="H15" s="7">
        <f t="shared" si="0"/>
        <v>360</v>
      </c>
      <c r="I15" s="7">
        <v>200</v>
      </c>
      <c r="J15" s="7"/>
      <c r="K15" s="7">
        <f t="shared" si="1"/>
        <v>560</v>
      </c>
      <c r="L15" s="11">
        <v>97</v>
      </c>
      <c r="M15" s="11"/>
    </row>
    <row r="16" spans="1:13">
      <c r="A16" s="15" t="s">
        <v>387</v>
      </c>
      <c r="B16" s="15"/>
      <c r="C16" s="15"/>
      <c r="D16" s="16"/>
      <c r="E16" s="17">
        <f>SUM(E8:E15)</f>
        <v>11.100000000000001</v>
      </c>
      <c r="F16" s="17">
        <f>SUM(F8:F15)</f>
        <v>6.1000000000000005</v>
      </c>
      <c r="G16" s="17"/>
      <c r="H16" s="17">
        <f>SUM(H8:H15)</f>
        <v>13847</v>
      </c>
      <c r="I16" s="17">
        <f t="shared" ref="I16:M16" si="2">SUM(I8:I15)</f>
        <v>5538</v>
      </c>
      <c r="J16" s="17">
        <f t="shared" si="2"/>
        <v>1519</v>
      </c>
      <c r="K16" s="17">
        <f t="shared" si="2"/>
        <v>20904</v>
      </c>
      <c r="L16" s="69">
        <f t="shared" si="2"/>
        <v>1194</v>
      </c>
      <c r="M16" s="69">
        <f t="shared" si="2"/>
        <v>644</v>
      </c>
    </row>
    <row r="17" spans="1:13">
      <c r="A17" s="18" t="s">
        <v>334</v>
      </c>
      <c r="B17" s="18"/>
      <c r="C17" s="18"/>
      <c r="D17" s="19"/>
      <c r="E17" s="20">
        <f>SUM(E16-F16)</f>
        <v>5.0000000000000009</v>
      </c>
      <c r="F17" s="20"/>
      <c r="G17" s="20"/>
      <c r="H17" s="20">
        <f>SUM(E27*G27)</f>
        <v>6295</v>
      </c>
      <c r="I17" s="20">
        <f>I16-L16</f>
        <v>4344</v>
      </c>
      <c r="J17" s="20">
        <f>J16-M16</f>
        <v>875</v>
      </c>
      <c r="K17" s="20">
        <f>SUM(H17:J17)</f>
        <v>11514</v>
      </c>
      <c r="L17" s="18"/>
      <c r="M17" s="18"/>
    </row>
    <row r="18" spans="1:13">
      <c r="A18" s="21"/>
      <c r="B18" s="1"/>
      <c r="C18" s="1"/>
      <c r="D18" s="1"/>
      <c r="E18" s="1"/>
      <c r="F18" s="1"/>
      <c r="G18" s="7"/>
      <c r="H18" s="1"/>
      <c r="I18" s="7"/>
      <c r="J18" s="7"/>
      <c r="K18" s="7"/>
      <c r="L18" s="1"/>
      <c r="M18" s="1"/>
    </row>
    <row r="19" spans="1:13">
      <c r="A19" s="1"/>
      <c r="B19" s="1"/>
      <c r="C19" s="21" t="s">
        <v>45</v>
      </c>
      <c r="D19" s="1"/>
      <c r="E19" s="1"/>
      <c r="F19" s="1"/>
      <c r="G19" s="1"/>
      <c r="H19" s="11"/>
      <c r="I19" s="11"/>
      <c r="J19" s="7"/>
      <c r="K19" s="7"/>
      <c r="L19" s="1"/>
      <c r="M19" s="1"/>
    </row>
    <row r="20" spans="1:13">
      <c r="A20" s="1"/>
      <c r="B20" s="1"/>
      <c r="C20" s="1"/>
      <c r="D20" s="1"/>
      <c r="E20" s="1"/>
      <c r="F20" s="1"/>
      <c r="G20" s="1"/>
      <c r="H20" s="1"/>
      <c r="I20" s="1"/>
      <c r="J20" s="1"/>
      <c r="K20" s="7"/>
      <c r="L20" s="1"/>
      <c r="M20" s="1"/>
    </row>
    <row r="21" spans="1:13">
      <c r="A21" s="21" t="s">
        <v>46</v>
      </c>
      <c r="B21" s="21"/>
      <c r="C21" s="21"/>
      <c r="D21" s="21"/>
      <c r="E21" s="21"/>
      <c r="F21" s="21"/>
      <c r="G21" s="21"/>
      <c r="H21" s="21"/>
      <c r="I21" s="1"/>
      <c r="J21" s="1"/>
      <c r="K21" s="1"/>
      <c r="L21" s="1"/>
      <c r="M21" s="1"/>
    </row>
    <row r="22" spans="1:13">
      <c r="A22" s="260" t="s">
        <v>47</v>
      </c>
      <c r="B22" s="260"/>
      <c r="C22" s="260"/>
      <c r="D22" s="260" t="s">
        <v>48</v>
      </c>
      <c r="E22" s="260" t="s">
        <v>49</v>
      </c>
      <c r="F22" s="260"/>
      <c r="G22" s="260" t="s">
        <v>50</v>
      </c>
      <c r="H22" s="21"/>
      <c r="I22" s="23" t="s">
        <v>51</v>
      </c>
      <c r="J22" s="24" t="s">
        <v>52</v>
      </c>
      <c r="K22" s="1"/>
      <c r="L22" s="1"/>
      <c r="M22" s="1"/>
    </row>
    <row r="23" spans="1:13">
      <c r="A23" s="21" t="s">
        <v>53</v>
      </c>
      <c r="B23" s="1"/>
      <c r="C23" s="1"/>
      <c r="D23" s="1"/>
      <c r="E23" s="1"/>
      <c r="F23" s="1"/>
      <c r="G23" s="1"/>
      <c r="H23" s="1"/>
      <c r="I23" s="46" t="s">
        <v>146</v>
      </c>
      <c r="J23" s="73">
        <v>57</v>
      </c>
      <c r="K23" s="1"/>
      <c r="L23" s="1"/>
      <c r="M23" s="1"/>
    </row>
    <row r="24" spans="1:13">
      <c r="A24" s="1" t="s">
        <v>55</v>
      </c>
      <c r="B24" s="12"/>
      <c r="C24" s="1"/>
      <c r="D24" s="29" t="s">
        <v>56</v>
      </c>
      <c r="E24" s="7">
        <v>6.2</v>
      </c>
      <c r="F24" s="7"/>
      <c r="G24" s="7">
        <v>245</v>
      </c>
      <c r="H24" s="1"/>
      <c r="I24" s="49" t="s">
        <v>147</v>
      </c>
      <c r="J24" s="74">
        <v>43</v>
      </c>
      <c r="K24" s="1"/>
      <c r="L24" s="1"/>
      <c r="M24" s="1"/>
    </row>
    <row r="25" spans="1:13">
      <c r="A25" s="1"/>
      <c r="B25" s="1"/>
      <c r="C25" s="1"/>
      <c r="D25" s="26"/>
      <c r="E25" s="12"/>
      <c r="F25" s="1"/>
      <c r="G25" s="12"/>
      <c r="H25" s="1"/>
      <c r="I25" s="27"/>
      <c r="J25" s="28"/>
      <c r="K25" s="1"/>
      <c r="L25" s="1"/>
      <c r="M25" s="1"/>
    </row>
    <row r="26" spans="1:13">
      <c r="A26" s="21" t="s">
        <v>57</v>
      </c>
      <c r="B26" s="1"/>
      <c r="C26" s="1"/>
      <c r="D26" s="1"/>
      <c r="E26" s="1"/>
      <c r="F26" s="1"/>
      <c r="G26" s="1"/>
      <c r="H26" s="1"/>
      <c r="I26" s="1"/>
      <c r="J26" s="1"/>
      <c r="K26" s="11"/>
      <c r="L26" s="1"/>
      <c r="M26" s="1"/>
    </row>
    <row r="27" spans="1:13">
      <c r="A27" s="1" t="s">
        <v>336</v>
      </c>
      <c r="B27" s="1"/>
      <c r="C27" s="1"/>
      <c r="D27" s="1" t="s">
        <v>59</v>
      </c>
      <c r="E27" s="5">
        <v>5</v>
      </c>
      <c r="F27" s="11"/>
      <c r="G27" s="7">
        <v>1259</v>
      </c>
      <c r="H27" s="1"/>
      <c r="I27" s="15" t="s">
        <v>60</v>
      </c>
      <c r="J27" s="17">
        <v>2.8</v>
      </c>
      <c r="K27" s="11"/>
      <c r="L27" s="1"/>
      <c r="M27" s="1"/>
    </row>
    <row r="28" spans="1:13">
      <c r="A28" s="1" t="s">
        <v>337</v>
      </c>
      <c r="B28" s="1"/>
      <c r="C28" s="1"/>
      <c r="D28" s="1" t="s">
        <v>59</v>
      </c>
      <c r="E28" s="5">
        <v>6</v>
      </c>
      <c r="F28" s="11"/>
      <c r="G28" s="11"/>
      <c r="H28" s="1"/>
      <c r="I28" s="18" t="s">
        <v>62</v>
      </c>
      <c r="J28" s="20">
        <v>3</v>
      </c>
      <c r="K28" s="1"/>
      <c r="L28" s="1"/>
      <c r="M28" s="1"/>
    </row>
    <row r="29" spans="1:13">
      <c r="A29" s="1" t="s">
        <v>6</v>
      </c>
      <c r="B29" s="1"/>
      <c r="C29" s="1"/>
      <c r="D29" s="1"/>
      <c r="E29" s="7">
        <f>+E28+E27</f>
        <v>11</v>
      </c>
      <c r="F29" s="11"/>
      <c r="G29" s="11"/>
      <c r="H29" s="1"/>
      <c r="I29" s="1"/>
      <c r="J29" s="1"/>
      <c r="K29" s="29"/>
      <c r="L29" s="1"/>
      <c r="M29" s="1"/>
    </row>
    <row r="30" spans="1:1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>
      <c r="A31" s="262" t="s">
        <v>70</v>
      </c>
      <c r="B31" s="15"/>
      <c r="C31" s="15"/>
      <c r="D31" s="15"/>
      <c r="E31" s="15"/>
      <c r="F31" s="15"/>
      <c r="G31" s="255" t="s">
        <v>340</v>
      </c>
      <c r="H31" s="266"/>
      <c r="I31" s="266" t="s">
        <v>341</v>
      </c>
      <c r="J31" s="1"/>
      <c r="K31" s="1"/>
      <c r="L31" s="1"/>
      <c r="M31" s="1"/>
    </row>
    <row r="32" spans="1:13">
      <c r="A32" s="27" t="s">
        <v>342</v>
      </c>
      <c r="B32" s="27"/>
      <c r="C32" s="27"/>
      <c r="D32" s="27"/>
      <c r="E32" s="27"/>
      <c r="F32" s="27"/>
      <c r="G32" s="55">
        <v>221</v>
      </c>
      <c r="H32" s="1" t="s">
        <v>73</v>
      </c>
      <c r="I32" s="7">
        <v>546</v>
      </c>
      <c r="J32" s="11"/>
      <c r="K32" s="1"/>
      <c r="L32" s="1"/>
      <c r="M32" s="1"/>
    </row>
    <row r="33" spans="1:13">
      <c r="A33" s="27" t="s">
        <v>343</v>
      </c>
      <c r="B33" s="27"/>
      <c r="C33" s="27"/>
      <c r="D33" s="27"/>
      <c r="E33" s="27"/>
      <c r="F33" s="27"/>
      <c r="G33" s="56">
        <v>204</v>
      </c>
      <c r="H33" s="1"/>
      <c r="I33" s="11"/>
      <c r="J33" s="11"/>
      <c r="K33" s="7"/>
      <c r="L33" s="1"/>
      <c r="M33" s="1"/>
    </row>
    <row r="34" spans="1:13">
      <c r="A34" s="27" t="s">
        <v>360</v>
      </c>
      <c r="B34" s="27"/>
      <c r="C34" s="27"/>
      <c r="D34" s="27"/>
      <c r="E34" s="27"/>
      <c r="F34" s="27"/>
      <c r="G34" s="56">
        <f>+G33*G32</f>
        <v>45084</v>
      </c>
      <c r="H34" s="36"/>
      <c r="I34" s="7">
        <v>111403</v>
      </c>
      <c r="J34" s="11"/>
      <c r="K34" s="7"/>
      <c r="L34" s="1"/>
      <c r="M34" s="1"/>
    </row>
    <row r="35" spans="1:13">
      <c r="A35" s="27" t="s">
        <v>361</v>
      </c>
      <c r="B35" s="27"/>
      <c r="C35" s="27"/>
      <c r="D35" s="27"/>
      <c r="E35" s="27"/>
      <c r="F35" s="27"/>
      <c r="G35" s="56">
        <f>+G34-K16</f>
        <v>24180</v>
      </c>
      <c r="H35" s="36"/>
      <c r="I35" s="7">
        <v>59749</v>
      </c>
      <c r="J35" s="11"/>
      <c r="K35" s="1"/>
      <c r="L35" s="1"/>
      <c r="M35" s="1"/>
    </row>
    <row r="36" spans="1:13">
      <c r="A36" s="27" t="s">
        <v>362</v>
      </c>
      <c r="B36" s="27"/>
      <c r="C36" s="27"/>
      <c r="D36" s="27"/>
      <c r="E36" s="27"/>
      <c r="F36" s="27"/>
      <c r="G36" s="56">
        <f>+G34-K17</f>
        <v>33570</v>
      </c>
      <c r="H36" s="36"/>
      <c r="I36" s="7">
        <v>82951</v>
      </c>
      <c r="J36" s="11"/>
      <c r="K36" s="1"/>
      <c r="L36" s="1"/>
      <c r="M36" s="1"/>
    </row>
    <row r="37" spans="1:13">
      <c r="A37" s="27"/>
      <c r="B37" s="27"/>
      <c r="C37" s="27"/>
      <c r="D37" s="27"/>
      <c r="E37" s="27"/>
      <c r="F37" s="27"/>
      <c r="G37" s="56"/>
      <c r="H37" s="36"/>
      <c r="I37" s="36"/>
      <c r="J37" s="1"/>
      <c r="K37" s="1"/>
      <c r="L37" s="1"/>
      <c r="M37" s="1"/>
    </row>
    <row r="38" spans="1:13">
      <c r="A38" s="27" t="s">
        <v>388</v>
      </c>
      <c r="B38" s="27"/>
      <c r="C38" s="27"/>
      <c r="D38" s="27"/>
      <c r="E38" s="27"/>
      <c r="F38" s="27"/>
      <c r="G38" s="56">
        <f>+K16/G32</f>
        <v>94.588235294117652</v>
      </c>
      <c r="H38" s="1"/>
      <c r="I38" s="1"/>
      <c r="J38" s="1"/>
      <c r="K38" s="1"/>
      <c r="L38" s="1"/>
      <c r="M38" s="1"/>
    </row>
    <row r="39" spans="1:13">
      <c r="A39" s="18" t="s">
        <v>348</v>
      </c>
      <c r="B39" s="18"/>
      <c r="C39" s="18"/>
      <c r="D39" s="18"/>
      <c r="E39" s="18"/>
      <c r="F39" s="18"/>
      <c r="G39" s="57">
        <f>+K17/G32</f>
        <v>52.099547511312217</v>
      </c>
      <c r="H39" s="1"/>
      <c r="I39" s="1"/>
      <c r="J39" s="1"/>
      <c r="K39" s="1"/>
      <c r="L39" s="1"/>
      <c r="M39" s="1"/>
    </row>
    <row r="40" spans="1:13">
      <c r="A40" s="37" t="s">
        <v>242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</row>
    <row r="42" spans="1:13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</row>
    <row r="43" spans="1:13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</row>
    <row r="44" spans="1:13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</row>
    <row r="45" spans="1:13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</row>
    <row r="46" spans="1:13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</row>
    <row r="47" spans="1:13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</row>
    <row r="48" spans="1:13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</row>
    <row r="49" spans="1:13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</row>
    <row r="50" spans="1:13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</row>
    <row r="51" spans="1:13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</row>
    <row r="52" spans="1:13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</row>
    <row r="53" spans="1:13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</row>
    <row r="54" spans="1:13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</row>
    <row r="55" spans="1:13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</row>
    <row r="56" spans="1:13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</row>
    <row r="57" spans="1:13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</row>
    <row r="58" spans="1:13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</row>
    <row r="59" spans="1:13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</row>
    <row r="60" spans="1:13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</row>
    <row r="61" spans="1:13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</row>
    <row r="62" spans="1:13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</row>
    <row r="63" spans="1:13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</row>
    <row r="64" spans="1:13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</row>
    <row r="65" spans="1:13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</row>
    <row r="66" spans="1:13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</row>
    <row r="67" spans="1:13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</row>
    <row r="68" spans="1:13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</row>
    <row r="69" spans="1:13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</row>
    <row r="70" spans="1:13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</row>
    <row r="71" spans="1:13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spans="1:13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spans="1:13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</row>
    <row r="74" spans="1:13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</row>
    <row r="75" spans="1:13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spans="1:13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spans="1:13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</row>
    <row r="78" spans="1:13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</row>
    <row r="79" spans="1:13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</row>
    <row r="80" spans="1:13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</row>
    <row r="81" spans="1:13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3:M126"/>
  <sheetViews>
    <sheetView topLeftCell="A13" workbookViewId="0">
      <selection activeCell="L35" sqref="L35"/>
    </sheetView>
  </sheetViews>
  <sheetFormatPr defaultRowHeight="15"/>
  <sheetData>
    <row r="3" spans="1:13">
      <c r="A3" s="21" t="s">
        <v>0</v>
      </c>
      <c r="B3" s="21" t="s">
        <v>416</v>
      </c>
      <c r="C3" s="21"/>
      <c r="D3" s="21"/>
      <c r="E3" s="21"/>
      <c r="F3" s="21"/>
      <c r="G3" s="21"/>
      <c r="H3" s="21"/>
      <c r="I3" s="21"/>
      <c r="J3" s="21" t="s">
        <v>118</v>
      </c>
      <c r="K3" s="1"/>
      <c r="L3" s="1"/>
      <c r="M3" s="1"/>
    </row>
    <row r="4" spans="1:1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>
      <c r="A6" s="267" t="s">
        <v>4</v>
      </c>
      <c r="B6" s="267"/>
      <c r="C6" s="267"/>
      <c r="D6" s="255" t="s">
        <v>5</v>
      </c>
      <c r="E6" s="296" t="s">
        <v>6</v>
      </c>
      <c r="F6" s="296" t="s">
        <v>7</v>
      </c>
      <c r="G6" s="296" t="s">
        <v>8</v>
      </c>
      <c r="H6" s="296" t="s">
        <v>9</v>
      </c>
      <c r="I6" s="296" t="s">
        <v>10</v>
      </c>
      <c r="J6" s="296" t="s">
        <v>11</v>
      </c>
      <c r="K6" s="296" t="s">
        <v>12</v>
      </c>
      <c r="L6" s="296" t="s">
        <v>13</v>
      </c>
      <c r="M6" s="296"/>
    </row>
    <row r="7" spans="1:13">
      <c r="A7" s="268"/>
      <c r="B7" s="268"/>
      <c r="C7" s="268"/>
      <c r="D7" s="256" t="s">
        <v>320</v>
      </c>
      <c r="E7" s="274" t="s">
        <v>321</v>
      </c>
      <c r="F7" s="274" t="s">
        <v>321</v>
      </c>
      <c r="G7" s="274" t="s">
        <v>322</v>
      </c>
      <c r="H7" s="274" t="s">
        <v>323</v>
      </c>
      <c r="I7" s="274" t="s">
        <v>390</v>
      </c>
      <c r="J7" s="274" t="s">
        <v>323</v>
      </c>
      <c r="K7" s="274" t="s">
        <v>323</v>
      </c>
      <c r="L7" s="274" t="s">
        <v>326</v>
      </c>
      <c r="M7" s="274" t="s">
        <v>327</v>
      </c>
    </row>
    <row r="8" spans="1:13">
      <c r="A8" s="287"/>
      <c r="B8" s="287"/>
      <c r="C8" s="287"/>
      <c r="D8" s="257" t="s">
        <v>21</v>
      </c>
      <c r="E8" s="297"/>
      <c r="F8" s="297"/>
      <c r="G8" s="297"/>
      <c r="H8" s="297" t="s">
        <v>22</v>
      </c>
      <c r="I8" s="297" t="s">
        <v>417</v>
      </c>
      <c r="J8" s="297" t="s">
        <v>22</v>
      </c>
      <c r="K8" s="297" t="s">
        <v>22</v>
      </c>
      <c r="L8" s="297"/>
      <c r="M8" s="297"/>
    </row>
    <row r="9" spans="1:13">
      <c r="A9" s="1" t="s">
        <v>418</v>
      </c>
      <c r="B9" s="1"/>
      <c r="C9" s="1"/>
      <c r="D9" s="58">
        <v>50</v>
      </c>
      <c r="E9" s="68">
        <v>1.2</v>
      </c>
      <c r="F9" s="68">
        <v>0.9</v>
      </c>
      <c r="G9" s="67">
        <v>1250</v>
      </c>
      <c r="H9" s="117">
        <f>+G9*E9</f>
        <v>1500</v>
      </c>
      <c r="I9" s="26"/>
      <c r="J9" s="117"/>
      <c r="K9" s="117">
        <f>+J9+I9+H9</f>
        <v>1500</v>
      </c>
      <c r="L9" s="26"/>
      <c r="M9" s="26"/>
    </row>
    <row r="10" spans="1:13">
      <c r="A10" s="1" t="s">
        <v>419</v>
      </c>
      <c r="B10" s="1"/>
      <c r="C10" s="1"/>
      <c r="D10" s="275">
        <v>80</v>
      </c>
      <c r="E10" s="117">
        <v>0.5</v>
      </c>
      <c r="F10" s="117">
        <v>0.5</v>
      </c>
      <c r="G10" s="277">
        <v>1300</v>
      </c>
      <c r="H10" s="117">
        <f>+G10*E10</f>
        <v>650</v>
      </c>
      <c r="I10" s="117">
        <v>9770</v>
      </c>
      <c r="J10" s="117"/>
      <c r="K10" s="117">
        <f>+J10+I10+H10</f>
        <v>10420</v>
      </c>
      <c r="L10" s="26"/>
      <c r="M10" s="26"/>
    </row>
    <row r="11" spans="1:13">
      <c r="A11" s="12" t="s">
        <v>26</v>
      </c>
      <c r="B11" s="1"/>
      <c r="C11" s="1"/>
      <c r="D11" s="58" t="s">
        <v>100</v>
      </c>
      <c r="E11" s="68" t="s">
        <v>420</v>
      </c>
      <c r="F11" s="68" t="s">
        <v>420</v>
      </c>
      <c r="G11" s="67" t="s">
        <v>421</v>
      </c>
      <c r="H11" s="68" t="s">
        <v>422</v>
      </c>
      <c r="I11" s="26"/>
      <c r="J11" s="117"/>
      <c r="K11" s="117"/>
      <c r="L11" s="26"/>
      <c r="M11" s="26"/>
    </row>
    <row r="12" spans="1:13">
      <c r="A12" s="1" t="s">
        <v>423</v>
      </c>
      <c r="B12" s="1"/>
      <c r="C12" s="1"/>
      <c r="D12" s="275">
        <v>100</v>
      </c>
      <c r="E12" s="117">
        <v>5.9</v>
      </c>
      <c r="F12" s="117">
        <v>1.6</v>
      </c>
      <c r="G12" s="277">
        <v>1250</v>
      </c>
      <c r="H12" s="117">
        <f>+G12*E12</f>
        <v>7375</v>
      </c>
      <c r="I12" s="26"/>
      <c r="J12" s="117"/>
      <c r="K12" s="117">
        <f>+J12+I12+H12</f>
        <v>7375</v>
      </c>
      <c r="L12" s="26"/>
      <c r="M12" s="288"/>
    </row>
    <row r="13" spans="1:13">
      <c r="A13" s="1" t="s">
        <v>114</v>
      </c>
      <c r="B13" s="1"/>
      <c r="C13" s="1"/>
      <c r="D13" s="275">
        <v>100</v>
      </c>
      <c r="E13" s="117">
        <v>7.7</v>
      </c>
      <c r="F13" s="117">
        <v>2.2999999999999998</v>
      </c>
      <c r="G13" s="277">
        <v>986</v>
      </c>
      <c r="H13" s="117">
        <v>7592</v>
      </c>
      <c r="I13" s="26"/>
      <c r="J13" s="117">
        <f>+G30*E30</f>
        <v>3507</v>
      </c>
      <c r="K13" s="117">
        <f t="shared" ref="K13:K21" si="0">+J13+I13+H13</f>
        <v>11099</v>
      </c>
      <c r="L13" s="26"/>
      <c r="M13" s="118"/>
    </row>
    <row r="14" spans="1:13">
      <c r="A14" s="1" t="s">
        <v>86</v>
      </c>
      <c r="B14" s="1"/>
      <c r="C14" s="1"/>
      <c r="D14" s="275">
        <v>100</v>
      </c>
      <c r="E14" s="117">
        <v>0.6</v>
      </c>
      <c r="F14" s="117">
        <v>0.6</v>
      </c>
      <c r="G14" s="277">
        <v>1000</v>
      </c>
      <c r="H14" s="117">
        <f t="shared" ref="H14:H21" si="1">+G14*E14</f>
        <v>600</v>
      </c>
      <c r="I14" s="26"/>
      <c r="J14" s="117">
        <f>+G39*E39+G40*E40</f>
        <v>1622</v>
      </c>
      <c r="K14" s="117">
        <f t="shared" si="0"/>
        <v>2222</v>
      </c>
      <c r="L14" s="26"/>
      <c r="M14" s="118"/>
    </row>
    <row r="15" spans="1:13">
      <c r="A15" s="1" t="s">
        <v>201</v>
      </c>
      <c r="B15" s="1"/>
      <c r="C15" s="1"/>
      <c r="D15" s="275">
        <v>80</v>
      </c>
      <c r="E15" s="117">
        <v>0.6</v>
      </c>
      <c r="F15" s="117">
        <v>0.6</v>
      </c>
      <c r="G15" s="277">
        <v>1265</v>
      </c>
      <c r="H15" s="117">
        <f t="shared" si="1"/>
        <v>759</v>
      </c>
      <c r="I15" s="26"/>
      <c r="J15" s="117">
        <v>1778</v>
      </c>
      <c r="K15" s="117">
        <f t="shared" si="0"/>
        <v>2537</v>
      </c>
      <c r="L15" s="26"/>
      <c r="M15" s="118"/>
    </row>
    <row r="16" spans="1:13">
      <c r="A16" s="1" t="s">
        <v>37</v>
      </c>
      <c r="B16" s="1"/>
      <c r="C16" s="1"/>
      <c r="D16" s="275">
        <v>100</v>
      </c>
      <c r="E16" s="117">
        <v>8.5</v>
      </c>
      <c r="F16" s="117">
        <v>1.7</v>
      </c>
      <c r="G16" s="277">
        <v>1000</v>
      </c>
      <c r="H16" s="117">
        <f t="shared" si="1"/>
        <v>8500</v>
      </c>
      <c r="I16" s="26"/>
      <c r="J16" s="117"/>
      <c r="K16" s="117">
        <f t="shared" si="0"/>
        <v>8500</v>
      </c>
      <c r="L16" s="26"/>
      <c r="M16" s="118"/>
    </row>
    <row r="17" spans="1:13">
      <c r="A17" s="1" t="s">
        <v>134</v>
      </c>
      <c r="B17" s="1"/>
      <c r="C17" s="1"/>
      <c r="D17" s="275">
        <v>100</v>
      </c>
      <c r="E17" s="117">
        <v>1.3</v>
      </c>
      <c r="F17" s="117">
        <v>1</v>
      </c>
      <c r="G17" s="277">
        <v>1255</v>
      </c>
      <c r="H17" s="117">
        <v>1632</v>
      </c>
      <c r="I17" s="26"/>
      <c r="J17" s="117">
        <v>2611</v>
      </c>
      <c r="K17" s="117">
        <f t="shared" si="0"/>
        <v>4243</v>
      </c>
      <c r="L17" s="26"/>
      <c r="M17" s="26"/>
    </row>
    <row r="18" spans="1:13">
      <c r="A18" s="1" t="s">
        <v>331</v>
      </c>
      <c r="B18" s="1"/>
      <c r="C18" s="1"/>
      <c r="D18" s="275">
        <v>100</v>
      </c>
      <c r="E18" s="117">
        <v>3.9</v>
      </c>
      <c r="F18" s="117">
        <v>3.9</v>
      </c>
      <c r="G18" s="277">
        <v>1250</v>
      </c>
      <c r="H18" s="117">
        <f t="shared" si="1"/>
        <v>4875</v>
      </c>
      <c r="I18" s="26"/>
      <c r="J18" s="117"/>
      <c r="K18" s="117">
        <f t="shared" si="0"/>
        <v>4875</v>
      </c>
      <c r="L18" s="26"/>
      <c r="M18" s="26"/>
    </row>
    <row r="19" spans="1:13">
      <c r="A19" s="1" t="s">
        <v>192</v>
      </c>
      <c r="B19" s="1"/>
      <c r="C19" s="1"/>
      <c r="D19" s="48">
        <v>100</v>
      </c>
      <c r="E19" s="117">
        <v>8.1</v>
      </c>
      <c r="F19" s="117">
        <v>1.9</v>
      </c>
      <c r="G19" s="117">
        <v>1250</v>
      </c>
      <c r="H19" s="117">
        <f t="shared" si="1"/>
        <v>10125</v>
      </c>
      <c r="I19" s="26"/>
      <c r="J19" s="117"/>
      <c r="K19" s="117">
        <f t="shared" si="0"/>
        <v>10125</v>
      </c>
      <c r="L19" s="26"/>
      <c r="M19" s="26"/>
    </row>
    <row r="20" spans="1:13">
      <c r="A20" s="1" t="s">
        <v>424</v>
      </c>
      <c r="B20" s="1"/>
      <c r="C20" s="1"/>
      <c r="D20" s="275">
        <v>100</v>
      </c>
      <c r="E20" s="117">
        <v>1.6</v>
      </c>
      <c r="F20" s="117">
        <v>1</v>
      </c>
      <c r="G20" s="277">
        <v>1250</v>
      </c>
      <c r="H20" s="117">
        <f t="shared" si="1"/>
        <v>2000</v>
      </c>
      <c r="I20" s="117">
        <v>3405</v>
      </c>
      <c r="J20" s="266"/>
      <c r="K20" s="117">
        <f t="shared" si="0"/>
        <v>5405</v>
      </c>
      <c r="L20" s="26"/>
      <c r="M20" s="26"/>
    </row>
    <row r="21" spans="1:13">
      <c r="A21" s="1" t="s">
        <v>42</v>
      </c>
      <c r="B21" s="1"/>
      <c r="C21" s="1"/>
      <c r="D21" s="58">
        <v>83</v>
      </c>
      <c r="E21" s="117">
        <v>0.3</v>
      </c>
      <c r="F21" s="117">
        <v>0.3</v>
      </c>
      <c r="G21" s="277">
        <v>1250</v>
      </c>
      <c r="H21" s="117">
        <f t="shared" si="1"/>
        <v>375</v>
      </c>
      <c r="I21" s="117">
        <v>549</v>
      </c>
      <c r="J21" s="117"/>
      <c r="K21" s="117">
        <f t="shared" si="0"/>
        <v>924</v>
      </c>
      <c r="L21" s="117">
        <v>220</v>
      </c>
      <c r="M21" s="26"/>
    </row>
    <row r="22" spans="1:13">
      <c r="A22" s="15" t="s">
        <v>333</v>
      </c>
      <c r="B22" s="15"/>
      <c r="C22" s="15"/>
      <c r="D22" s="279"/>
      <c r="E22" s="280">
        <f>SUM(E9:E21)</f>
        <v>40.199999999999996</v>
      </c>
      <c r="F22" s="280">
        <f>SUM(F9:F21)</f>
        <v>16.3</v>
      </c>
      <c r="G22" s="280"/>
      <c r="H22" s="280">
        <f>SUM(H9:H21)</f>
        <v>45983</v>
      </c>
      <c r="I22" s="280">
        <f t="shared" ref="I22:M22" si="2">SUM(I9:I21)</f>
        <v>13724</v>
      </c>
      <c r="J22" s="280">
        <f t="shared" si="2"/>
        <v>9518</v>
      </c>
      <c r="K22" s="280">
        <f t="shared" si="2"/>
        <v>69225</v>
      </c>
      <c r="L22" s="280">
        <f t="shared" si="2"/>
        <v>220</v>
      </c>
      <c r="M22" s="280">
        <f t="shared" si="2"/>
        <v>0</v>
      </c>
    </row>
    <row r="23" spans="1:13">
      <c r="A23" s="18" t="s">
        <v>425</v>
      </c>
      <c r="B23" s="18"/>
      <c r="C23" s="18"/>
      <c r="D23" s="281"/>
      <c r="E23" s="265">
        <f>SUM(E22-F22)</f>
        <v>23.899999999999995</v>
      </c>
      <c r="F23" s="265"/>
      <c r="G23" s="265"/>
      <c r="H23" s="265">
        <f>SUM(E33*G33)</f>
        <v>27600</v>
      </c>
      <c r="I23" s="265">
        <f>I22-L22</f>
        <v>13504</v>
      </c>
      <c r="J23" s="265">
        <f>J22-M22</f>
        <v>9518</v>
      </c>
      <c r="K23" s="265">
        <f>SUM(H23:J23)</f>
        <v>50622</v>
      </c>
      <c r="L23" s="39"/>
      <c r="M23" s="39"/>
    </row>
    <row r="24" spans="1:13">
      <c r="A24" s="21"/>
      <c r="B24" s="1"/>
      <c r="C24" s="1"/>
      <c r="D24" s="1"/>
      <c r="E24" s="1"/>
      <c r="F24" s="1"/>
      <c r="G24" s="7"/>
      <c r="H24" s="1"/>
      <c r="I24" s="7"/>
      <c r="J24" s="1"/>
      <c r="K24" s="7"/>
      <c r="L24" s="1"/>
      <c r="M24" s="1"/>
    </row>
    <row r="25" spans="1:13">
      <c r="A25" s="1"/>
      <c r="B25" s="1"/>
      <c r="C25" s="21" t="s">
        <v>45</v>
      </c>
      <c r="D25" s="1"/>
      <c r="E25" s="1"/>
      <c r="F25" s="1"/>
      <c r="G25" s="1"/>
      <c r="H25" s="11"/>
      <c r="I25" s="7"/>
      <c r="J25" s="7"/>
      <c r="K25" s="7"/>
      <c r="L25" s="1"/>
      <c r="M25" s="1"/>
    </row>
    <row r="26" spans="1:13">
      <c r="A26" s="1"/>
      <c r="B26" s="1"/>
      <c r="C26" s="1"/>
      <c r="D26" s="1"/>
      <c r="E26" s="1"/>
      <c r="F26" s="1"/>
      <c r="G26" s="1"/>
      <c r="H26" s="1"/>
      <c r="I26" s="1"/>
      <c r="J26" s="7"/>
      <c r="K26" s="7"/>
      <c r="L26" s="1"/>
      <c r="M26" s="1"/>
    </row>
    <row r="27" spans="1:13">
      <c r="A27" s="21" t="s">
        <v>46</v>
      </c>
      <c r="B27" s="21"/>
      <c r="C27" s="21"/>
      <c r="D27" s="21"/>
      <c r="E27" s="21"/>
      <c r="F27" s="21"/>
      <c r="G27" s="21"/>
      <c r="H27" s="1"/>
      <c r="I27" s="1"/>
      <c r="J27" s="1"/>
      <c r="K27" s="1"/>
      <c r="L27" s="1"/>
      <c r="M27" s="1"/>
    </row>
    <row r="28" spans="1:13">
      <c r="A28" s="260" t="s">
        <v>47</v>
      </c>
      <c r="B28" s="260"/>
      <c r="C28" s="260"/>
      <c r="D28" s="260" t="s">
        <v>48</v>
      </c>
      <c r="E28" s="260" t="s">
        <v>49</v>
      </c>
      <c r="F28" s="260"/>
      <c r="G28" s="260" t="s">
        <v>426</v>
      </c>
      <c r="H28" s="1"/>
      <c r="I28" s="303" t="s">
        <v>51</v>
      </c>
      <c r="J28" s="304" t="s">
        <v>52</v>
      </c>
      <c r="K28" s="1"/>
      <c r="L28" s="1"/>
      <c r="M28" s="1"/>
    </row>
    <row r="29" spans="1:13">
      <c r="A29" s="21" t="s">
        <v>53</v>
      </c>
      <c r="B29" s="1"/>
      <c r="C29" s="1"/>
      <c r="D29" s="1"/>
      <c r="E29" s="1"/>
      <c r="F29" s="1"/>
      <c r="G29" s="1"/>
      <c r="H29" s="1"/>
      <c r="I29" s="46" t="s">
        <v>165</v>
      </c>
      <c r="J29" s="73">
        <v>78</v>
      </c>
      <c r="K29" s="1"/>
      <c r="L29" s="1"/>
      <c r="M29" s="1"/>
    </row>
    <row r="30" spans="1:13">
      <c r="A30" s="1" t="s">
        <v>55</v>
      </c>
      <c r="B30" s="1"/>
      <c r="C30" s="1"/>
      <c r="D30" s="26" t="s">
        <v>56</v>
      </c>
      <c r="E30" s="7">
        <v>21</v>
      </c>
      <c r="F30" s="7"/>
      <c r="G30" s="7">
        <v>167</v>
      </c>
      <c r="H30" s="1"/>
      <c r="I30" s="49" t="s">
        <v>113</v>
      </c>
      <c r="J30" s="74">
        <v>22</v>
      </c>
      <c r="K30" s="1"/>
      <c r="L30" s="1"/>
      <c r="M30" s="1"/>
    </row>
    <row r="31" spans="1:13">
      <c r="A31" s="1"/>
      <c r="B31" s="1"/>
      <c r="C31" s="1"/>
      <c r="D31" s="26"/>
      <c r="E31" s="13"/>
      <c r="F31" s="7"/>
      <c r="G31" s="13"/>
      <c r="H31" s="1"/>
      <c r="I31" s="27"/>
      <c r="J31" s="28"/>
      <c r="K31" s="1"/>
      <c r="L31" s="1"/>
      <c r="M31" s="1"/>
    </row>
    <row r="32" spans="1:13">
      <c r="A32" s="21" t="s">
        <v>57</v>
      </c>
      <c r="B32" s="1"/>
      <c r="C32" s="1"/>
      <c r="D32" s="26"/>
      <c r="E32" s="7"/>
      <c r="F32" s="7"/>
      <c r="G32" s="7"/>
      <c r="H32" s="1"/>
      <c r="I32" s="1"/>
      <c r="J32" s="1"/>
      <c r="K32" s="11"/>
      <c r="L32" s="1"/>
      <c r="M32" s="1"/>
    </row>
    <row r="33" spans="1:13">
      <c r="A33" s="1" t="s">
        <v>58</v>
      </c>
      <c r="B33" s="1"/>
      <c r="C33" s="1"/>
      <c r="D33" s="26" t="s">
        <v>59</v>
      </c>
      <c r="E33" s="7">
        <v>24</v>
      </c>
      <c r="F33" s="7"/>
      <c r="G33" s="7">
        <v>1150</v>
      </c>
      <c r="H33" s="1"/>
      <c r="I33" s="15" t="s">
        <v>60</v>
      </c>
      <c r="J33" s="15">
        <v>1.7</v>
      </c>
      <c r="K33" s="11"/>
      <c r="L33" s="1"/>
      <c r="M33" s="1"/>
    </row>
    <row r="34" spans="1:13">
      <c r="A34" s="1" t="s">
        <v>61</v>
      </c>
      <c r="B34" s="1"/>
      <c r="C34" s="1"/>
      <c r="D34" s="26" t="s">
        <v>59</v>
      </c>
      <c r="E34" s="7">
        <v>16</v>
      </c>
      <c r="F34" s="7"/>
      <c r="G34" s="7"/>
      <c r="H34" s="1"/>
      <c r="I34" s="18" t="s">
        <v>62</v>
      </c>
      <c r="J34" s="20">
        <v>1</v>
      </c>
      <c r="K34" s="1"/>
      <c r="L34" s="1"/>
      <c r="M34" s="1"/>
    </row>
    <row r="35" spans="1:13">
      <c r="A35" s="1" t="s">
        <v>6</v>
      </c>
      <c r="B35" s="1"/>
      <c r="C35" s="1"/>
      <c r="D35" s="26" t="s">
        <v>59</v>
      </c>
      <c r="E35" s="7">
        <f>+E34+E33</f>
        <v>40</v>
      </c>
      <c r="F35" s="7"/>
      <c r="G35" s="7"/>
      <c r="H35" s="1"/>
      <c r="I35" s="1"/>
      <c r="J35" s="1"/>
      <c r="K35" s="29"/>
      <c r="L35" s="1"/>
      <c r="M35" s="1"/>
    </row>
    <row r="36" spans="1:1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>
      <c r="A37" s="262" t="s">
        <v>395</v>
      </c>
      <c r="B37" s="262"/>
      <c r="C37" s="262" t="s">
        <v>427</v>
      </c>
      <c r="D37" s="262"/>
      <c r="E37" s="15"/>
      <c r="F37" s="15"/>
      <c r="G37" s="15"/>
      <c r="H37" s="1"/>
      <c r="I37" s="1"/>
      <c r="J37" s="1"/>
      <c r="K37" s="1"/>
      <c r="L37" s="1"/>
      <c r="M37" s="1"/>
    </row>
    <row r="38" spans="1:13">
      <c r="A38" s="1"/>
      <c r="B38" s="3"/>
      <c r="C38" s="30"/>
      <c r="D38" s="27"/>
      <c r="E38" s="27"/>
      <c r="F38" s="27"/>
      <c r="G38" s="27"/>
      <c r="H38" s="1"/>
      <c r="I38" s="1"/>
      <c r="J38" s="1"/>
      <c r="K38" s="1"/>
      <c r="L38" s="1"/>
      <c r="M38" s="1"/>
    </row>
    <row r="39" spans="1:13">
      <c r="A39" s="27" t="s">
        <v>65</v>
      </c>
      <c r="B39" s="3"/>
      <c r="C39" s="31">
        <v>77</v>
      </c>
      <c r="D39" s="32" t="s">
        <v>66</v>
      </c>
      <c r="E39" s="33">
        <v>38</v>
      </c>
      <c r="F39" s="27"/>
      <c r="G39" s="33">
        <v>25</v>
      </c>
      <c r="H39" s="1"/>
      <c r="I39" s="1"/>
      <c r="J39" s="1"/>
      <c r="K39" s="1"/>
      <c r="L39" s="1"/>
      <c r="M39" s="1"/>
    </row>
    <row r="40" spans="1:13">
      <c r="A40" s="27" t="s">
        <v>67</v>
      </c>
      <c r="B40" s="3"/>
      <c r="C40" s="31">
        <v>80</v>
      </c>
      <c r="D40" s="32" t="s">
        <v>66</v>
      </c>
      <c r="E40" s="34">
        <v>28</v>
      </c>
      <c r="F40" s="27"/>
      <c r="G40" s="34">
        <v>24</v>
      </c>
      <c r="H40" s="1"/>
      <c r="I40" s="1"/>
      <c r="J40" s="1"/>
      <c r="K40" s="1"/>
      <c r="L40" s="1"/>
      <c r="M40" s="1"/>
    </row>
    <row r="41" spans="1:13">
      <c r="A41" s="1"/>
      <c r="B41" s="298"/>
      <c r="C41" s="30"/>
      <c r="D41" s="27"/>
      <c r="E41" s="27"/>
      <c r="F41" s="27"/>
      <c r="G41" s="27"/>
      <c r="H41" s="1"/>
      <c r="I41" s="1"/>
      <c r="J41" s="1"/>
      <c r="K41" s="1"/>
      <c r="L41" s="1"/>
      <c r="M41" s="1"/>
    </row>
    <row r="42" spans="1:13">
      <c r="A42" s="262" t="s">
        <v>70</v>
      </c>
      <c r="B42" s="15"/>
      <c r="C42" s="15"/>
      <c r="D42" s="15"/>
      <c r="E42" s="15"/>
      <c r="F42" s="15"/>
      <c r="G42" s="255" t="s">
        <v>340</v>
      </c>
      <c r="H42" s="266"/>
      <c r="I42" s="266" t="s">
        <v>341</v>
      </c>
      <c r="J42" s="1"/>
      <c r="K42" s="1"/>
      <c r="L42" s="1"/>
      <c r="M42" s="1"/>
    </row>
    <row r="43" spans="1:13">
      <c r="A43" s="27" t="s">
        <v>342</v>
      </c>
      <c r="B43" s="27"/>
      <c r="C43" s="27"/>
      <c r="D43" s="27"/>
      <c r="E43" s="27"/>
      <c r="F43" s="27"/>
      <c r="G43" s="55">
        <v>1121</v>
      </c>
      <c r="H43" s="1"/>
      <c r="I43" s="7">
        <v>2770</v>
      </c>
      <c r="J43" s="11"/>
      <c r="K43" s="1"/>
      <c r="L43" s="1"/>
      <c r="M43" s="1"/>
    </row>
    <row r="44" spans="1:13">
      <c r="A44" s="27" t="s">
        <v>343</v>
      </c>
      <c r="B44" s="27"/>
      <c r="C44" s="27"/>
      <c r="D44" s="27"/>
      <c r="E44" s="27"/>
      <c r="F44" s="27"/>
      <c r="G44" s="56">
        <v>141</v>
      </c>
      <c r="H44" s="1"/>
      <c r="I44" s="7"/>
      <c r="J44" s="11"/>
      <c r="K44" s="7"/>
      <c r="L44" s="1"/>
      <c r="M44" s="1"/>
    </row>
    <row r="45" spans="1:13">
      <c r="A45" s="27" t="s">
        <v>360</v>
      </c>
      <c r="B45" s="27"/>
      <c r="C45" s="27"/>
      <c r="D45" s="27"/>
      <c r="E45" s="27"/>
      <c r="F45" s="27"/>
      <c r="G45" s="56">
        <f>+G44*G43</f>
        <v>158061</v>
      </c>
      <c r="H45" s="36"/>
      <c r="I45" s="7">
        <v>390569</v>
      </c>
      <c r="J45" s="11"/>
      <c r="K45" s="7"/>
      <c r="L45" s="1"/>
      <c r="M45" s="1"/>
    </row>
    <row r="46" spans="1:13">
      <c r="A46" s="27" t="s">
        <v>361</v>
      </c>
      <c r="B46" s="27"/>
      <c r="C46" s="27"/>
      <c r="D46" s="27"/>
      <c r="E46" s="27"/>
      <c r="F46" s="27"/>
      <c r="G46" s="56">
        <f>+G45-K22</f>
        <v>88836</v>
      </c>
      <c r="H46" s="36"/>
      <c r="I46" s="7">
        <v>219514</v>
      </c>
      <c r="J46" s="11"/>
      <c r="K46" s="1"/>
      <c r="L46" s="1"/>
      <c r="M46" s="1"/>
    </row>
    <row r="47" spans="1:13">
      <c r="A47" s="27" t="s">
        <v>362</v>
      </c>
      <c r="B47" s="27"/>
      <c r="C47" s="27"/>
      <c r="D47" s="27"/>
      <c r="E47" s="27"/>
      <c r="F47" s="27"/>
      <c r="G47" s="56">
        <f>+G45-K23</f>
        <v>107439</v>
      </c>
      <c r="H47" s="36"/>
      <c r="I47" s="7">
        <v>265482</v>
      </c>
      <c r="J47" s="11"/>
      <c r="K47" s="1"/>
      <c r="L47" s="1"/>
      <c r="M47" s="1"/>
    </row>
    <row r="48" spans="1:13">
      <c r="A48" s="27"/>
      <c r="B48" s="27"/>
      <c r="C48" s="27"/>
      <c r="D48" s="27"/>
      <c r="E48" s="27"/>
      <c r="F48" s="27"/>
      <c r="G48" s="56"/>
      <c r="H48" s="36"/>
      <c r="I48" s="36"/>
      <c r="J48" s="1"/>
      <c r="K48" s="1"/>
      <c r="L48" s="1"/>
      <c r="M48" s="1"/>
    </row>
    <row r="49" spans="1:13">
      <c r="A49" s="27" t="s">
        <v>347</v>
      </c>
      <c r="B49" s="27"/>
      <c r="C49" s="27"/>
      <c r="D49" s="27"/>
      <c r="E49" s="27"/>
      <c r="F49" s="27"/>
      <c r="G49" s="56">
        <f>+K22/G43</f>
        <v>61.752899197145403</v>
      </c>
      <c r="H49" s="1"/>
      <c r="I49" s="1"/>
      <c r="J49" s="1"/>
      <c r="K49" s="1"/>
      <c r="L49" s="1"/>
      <c r="M49" s="1"/>
    </row>
    <row r="50" spans="1:13">
      <c r="A50" s="18" t="s">
        <v>348</v>
      </c>
      <c r="B50" s="18"/>
      <c r="C50" s="18"/>
      <c r="D50" s="18"/>
      <c r="E50" s="18"/>
      <c r="F50" s="18"/>
      <c r="G50" s="57">
        <f>+K23/G43</f>
        <v>45.157894736842103</v>
      </c>
      <c r="H50" s="1"/>
      <c r="I50" s="1"/>
      <c r="J50" s="1"/>
      <c r="K50" s="1"/>
      <c r="L50" s="1"/>
      <c r="M50" s="1"/>
    </row>
    <row r="51" spans="1:1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>
      <c r="A52" s="305"/>
      <c r="B52" s="305"/>
      <c r="C52" s="305"/>
      <c r="D52" s="305"/>
      <c r="E52" s="305"/>
      <c r="F52" s="305"/>
      <c r="G52" s="305"/>
      <c r="H52" s="305"/>
      <c r="I52" s="305"/>
      <c r="J52" s="305"/>
      <c r="K52" s="305"/>
      <c r="L52" s="305"/>
      <c r="M52" s="305"/>
    </row>
    <row r="53" spans="1:13">
      <c r="A53" s="305"/>
      <c r="B53" s="305"/>
      <c r="C53" s="305"/>
      <c r="D53" s="305"/>
      <c r="E53" s="305"/>
      <c r="F53" s="305"/>
      <c r="G53" s="305"/>
      <c r="H53" s="305"/>
      <c r="I53" s="305"/>
      <c r="J53" s="305"/>
      <c r="K53" s="305"/>
      <c r="L53" s="305"/>
      <c r="M53" s="305"/>
    </row>
    <row r="54" spans="1:13">
      <c r="A54" s="305"/>
      <c r="B54" s="305"/>
      <c r="C54" s="305"/>
      <c r="D54" s="305"/>
      <c r="E54" s="305"/>
      <c r="F54" s="305"/>
      <c r="G54" s="305"/>
      <c r="H54" s="305"/>
      <c r="I54" s="305"/>
      <c r="J54" s="305"/>
      <c r="K54" s="305"/>
      <c r="L54" s="305"/>
      <c r="M54" s="305"/>
    </row>
    <row r="55" spans="1:13">
      <c r="A55" s="305"/>
      <c r="B55" s="305"/>
      <c r="C55" s="305"/>
      <c r="D55" s="305"/>
      <c r="E55" s="305"/>
      <c r="F55" s="305"/>
      <c r="G55" s="305"/>
      <c r="H55" s="305"/>
      <c r="I55" s="305"/>
      <c r="J55" s="305"/>
      <c r="K55" s="305"/>
      <c r="L55" s="305"/>
      <c r="M55" s="305"/>
    </row>
    <row r="56" spans="1:13">
      <c r="A56" s="305"/>
      <c r="B56" s="305"/>
      <c r="C56" s="305"/>
      <c r="D56" s="305"/>
      <c r="E56" s="305"/>
      <c r="F56" s="305"/>
      <c r="G56" s="305"/>
      <c r="H56" s="305"/>
      <c r="I56" s="305"/>
      <c r="J56" s="305"/>
      <c r="K56" s="305"/>
      <c r="L56" s="305"/>
      <c r="M56" s="305"/>
    </row>
    <row r="57" spans="1:13">
      <c r="A57" s="305"/>
      <c r="B57" s="305"/>
      <c r="C57" s="305"/>
      <c r="D57" s="305"/>
      <c r="E57" s="305"/>
      <c r="F57" s="305"/>
      <c r="G57" s="305"/>
      <c r="H57" s="305"/>
      <c r="I57" s="305"/>
      <c r="J57" s="305"/>
      <c r="K57" s="305"/>
      <c r="L57" s="305"/>
      <c r="M57" s="305"/>
    </row>
    <row r="58" spans="1:13">
      <c r="A58" s="305"/>
      <c r="B58" s="305"/>
      <c r="C58" s="305"/>
      <c r="D58" s="305"/>
      <c r="E58" s="305"/>
      <c r="F58" s="305"/>
      <c r="G58" s="305"/>
      <c r="H58" s="305"/>
      <c r="I58" s="305"/>
      <c r="J58" s="305"/>
      <c r="K58" s="305"/>
      <c r="L58" s="305"/>
      <c r="M58" s="305"/>
    </row>
    <row r="59" spans="1:13">
      <c r="A59" s="305"/>
      <c r="B59" s="305"/>
      <c r="C59" s="305"/>
      <c r="D59" s="305"/>
      <c r="E59" s="305"/>
      <c r="F59" s="305"/>
      <c r="G59" s="305"/>
      <c r="H59" s="305"/>
      <c r="I59" s="305"/>
      <c r="J59" s="305"/>
      <c r="K59" s="305"/>
      <c r="L59" s="305"/>
      <c r="M59" s="305"/>
    </row>
    <row r="60" spans="1:13">
      <c r="A60" s="305"/>
      <c r="B60" s="305"/>
      <c r="C60" s="305"/>
      <c r="D60" s="305"/>
      <c r="E60" s="305"/>
      <c r="F60" s="305"/>
      <c r="G60" s="305"/>
      <c r="H60" s="305"/>
      <c r="I60" s="305"/>
      <c r="J60" s="305"/>
      <c r="K60" s="305"/>
      <c r="L60" s="305"/>
      <c r="M60" s="305"/>
    </row>
    <row r="61" spans="1:13">
      <c r="A61" s="305"/>
      <c r="B61" s="305"/>
      <c r="C61" s="305"/>
      <c r="D61" s="305"/>
      <c r="E61" s="305"/>
      <c r="F61" s="305"/>
      <c r="G61" s="305"/>
      <c r="H61" s="305"/>
      <c r="I61" s="305"/>
      <c r="J61" s="305"/>
      <c r="K61" s="305"/>
      <c r="L61" s="305"/>
      <c r="M61" s="305"/>
    </row>
    <row r="62" spans="1:13">
      <c r="A62" s="305"/>
      <c r="B62" s="305"/>
      <c r="C62" s="305"/>
      <c r="D62" s="305"/>
      <c r="E62" s="305"/>
      <c r="F62" s="305"/>
      <c r="G62" s="305"/>
      <c r="H62" s="305"/>
      <c r="I62" s="305"/>
      <c r="J62" s="305"/>
      <c r="K62" s="305"/>
      <c r="L62" s="305"/>
      <c r="M62" s="305"/>
    </row>
    <row r="63" spans="1:13">
      <c r="A63" s="305"/>
      <c r="B63" s="305"/>
      <c r="C63" s="305"/>
      <c r="D63" s="305"/>
      <c r="E63" s="305"/>
      <c r="F63" s="305"/>
      <c r="G63" s="305"/>
      <c r="H63" s="305"/>
      <c r="I63" s="305"/>
      <c r="J63" s="305"/>
      <c r="K63" s="305"/>
      <c r="L63" s="305"/>
      <c r="M63" s="305"/>
    </row>
    <row r="64" spans="1:13">
      <c r="A64" s="305"/>
      <c r="B64" s="305"/>
      <c r="C64" s="305"/>
      <c r="D64" s="305"/>
      <c r="E64" s="305"/>
      <c r="F64" s="305"/>
      <c r="G64" s="305"/>
      <c r="H64" s="305"/>
      <c r="I64" s="305"/>
      <c r="J64" s="305"/>
      <c r="K64" s="305"/>
      <c r="L64" s="305"/>
      <c r="M64" s="305"/>
    </row>
    <row r="65" spans="1:13">
      <c r="A65" s="305"/>
      <c r="B65" s="305"/>
      <c r="C65" s="305"/>
      <c r="D65" s="305"/>
      <c r="E65" s="305"/>
      <c r="F65" s="305"/>
      <c r="G65" s="305"/>
      <c r="H65" s="305"/>
      <c r="I65" s="305"/>
      <c r="J65" s="305"/>
      <c r="K65" s="305"/>
      <c r="L65" s="305"/>
      <c r="M65" s="305"/>
    </row>
    <row r="66" spans="1:13">
      <c r="A66" s="305"/>
      <c r="B66" s="305"/>
      <c r="C66" s="305"/>
      <c r="D66" s="305"/>
      <c r="E66" s="305"/>
      <c r="F66" s="305"/>
      <c r="G66" s="305"/>
      <c r="H66" s="305"/>
      <c r="I66" s="305"/>
      <c r="J66" s="305"/>
      <c r="K66" s="305"/>
      <c r="L66" s="305"/>
      <c r="M66" s="305"/>
    </row>
    <row r="67" spans="1:13">
      <c r="A67" s="305"/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</row>
    <row r="68" spans="1:13">
      <c r="A68" s="305"/>
      <c r="B68" s="305"/>
      <c r="C68" s="305"/>
      <c r="D68" s="305"/>
      <c r="E68" s="305"/>
      <c r="F68" s="305"/>
      <c r="G68" s="305"/>
      <c r="H68" s="305"/>
      <c r="I68" s="305"/>
      <c r="J68" s="305"/>
      <c r="K68" s="305"/>
      <c r="L68" s="305"/>
      <c r="M68" s="305"/>
    </row>
    <row r="69" spans="1:13">
      <c r="A69" s="305"/>
      <c r="B69" s="305"/>
      <c r="C69" s="305"/>
      <c r="D69" s="305"/>
      <c r="E69" s="305"/>
      <c r="F69" s="305"/>
      <c r="G69" s="305"/>
      <c r="H69" s="305"/>
      <c r="I69" s="305"/>
      <c r="J69" s="305"/>
      <c r="K69" s="305"/>
      <c r="L69" s="305"/>
      <c r="M69" s="305"/>
    </row>
    <row r="70" spans="1:13">
      <c r="A70" s="305"/>
      <c r="B70" s="305"/>
      <c r="C70" s="305"/>
      <c r="D70" s="305"/>
      <c r="E70" s="305"/>
      <c r="F70" s="305"/>
      <c r="G70" s="305"/>
      <c r="H70" s="305"/>
      <c r="I70" s="305"/>
      <c r="J70" s="305"/>
      <c r="K70" s="305"/>
      <c r="L70" s="305"/>
      <c r="M70" s="305"/>
    </row>
    <row r="71" spans="1:13">
      <c r="A71" s="305"/>
      <c r="B71" s="305"/>
      <c r="C71" s="305"/>
      <c r="D71" s="305"/>
      <c r="E71" s="305"/>
      <c r="F71" s="305"/>
      <c r="G71" s="305"/>
      <c r="H71" s="305"/>
      <c r="I71" s="305"/>
      <c r="J71" s="305"/>
      <c r="K71" s="305"/>
      <c r="L71" s="305"/>
      <c r="M71" s="305"/>
    </row>
    <row r="72" spans="1:13">
      <c r="A72" s="305"/>
      <c r="B72" s="305"/>
      <c r="C72" s="305"/>
      <c r="D72" s="305"/>
      <c r="E72" s="305"/>
      <c r="F72" s="305"/>
      <c r="G72" s="305"/>
      <c r="H72" s="305"/>
      <c r="I72" s="305"/>
      <c r="J72" s="305"/>
      <c r="K72" s="305"/>
      <c r="L72" s="305"/>
      <c r="M72" s="305"/>
    </row>
    <row r="73" spans="1:13">
      <c r="A73" s="305"/>
      <c r="B73" s="305"/>
      <c r="C73" s="305"/>
      <c r="D73" s="305"/>
      <c r="E73" s="305"/>
      <c r="F73" s="305"/>
      <c r="G73" s="305"/>
      <c r="H73" s="305"/>
      <c r="I73" s="305"/>
      <c r="J73" s="305"/>
      <c r="K73" s="305"/>
      <c r="L73" s="305"/>
      <c r="M73" s="305"/>
    </row>
    <row r="74" spans="1:13">
      <c r="A74" s="305"/>
      <c r="B74" s="305"/>
      <c r="C74" s="305"/>
      <c r="D74" s="305"/>
      <c r="E74" s="305"/>
      <c r="F74" s="305"/>
      <c r="G74" s="305"/>
      <c r="H74" s="305"/>
      <c r="I74" s="305"/>
      <c r="J74" s="305"/>
      <c r="K74" s="305"/>
      <c r="L74" s="305"/>
      <c r="M74" s="305"/>
    </row>
    <row r="75" spans="1:13">
      <c r="A75" s="305"/>
      <c r="B75" s="305"/>
      <c r="C75" s="305"/>
      <c r="D75" s="305"/>
      <c r="E75" s="305"/>
      <c r="F75" s="305"/>
      <c r="G75" s="305"/>
      <c r="H75" s="305"/>
      <c r="I75" s="305"/>
      <c r="J75" s="305"/>
      <c r="K75" s="305"/>
      <c r="L75" s="305"/>
      <c r="M75" s="305"/>
    </row>
    <row r="76" spans="1:13">
      <c r="A76" s="305"/>
      <c r="B76" s="305"/>
      <c r="C76" s="305"/>
      <c r="D76" s="305"/>
      <c r="E76" s="305"/>
      <c r="F76" s="305"/>
      <c r="G76" s="305"/>
      <c r="H76" s="305"/>
      <c r="I76" s="305"/>
      <c r="J76" s="305"/>
      <c r="K76" s="305"/>
      <c r="L76" s="305"/>
      <c r="M76" s="305"/>
    </row>
    <row r="77" spans="1:13">
      <c r="A77" s="305"/>
      <c r="B77" s="305"/>
      <c r="C77" s="305"/>
      <c r="D77" s="305"/>
      <c r="E77" s="305"/>
      <c r="F77" s="305"/>
      <c r="G77" s="305"/>
      <c r="H77" s="305"/>
      <c r="I77" s="305"/>
      <c r="J77" s="305"/>
      <c r="K77" s="305"/>
      <c r="L77" s="305"/>
      <c r="M77" s="305"/>
    </row>
    <row r="78" spans="1:13">
      <c r="A78" s="305"/>
      <c r="B78" s="305"/>
      <c r="C78" s="305"/>
      <c r="D78" s="305"/>
      <c r="E78" s="305"/>
      <c r="F78" s="305"/>
      <c r="G78" s="305"/>
      <c r="H78" s="305"/>
      <c r="I78" s="305"/>
      <c r="J78" s="305"/>
      <c r="K78" s="305"/>
      <c r="L78" s="305"/>
      <c r="M78" s="305"/>
    </row>
    <row r="79" spans="1:13">
      <c r="A79" s="305"/>
      <c r="B79" s="305"/>
      <c r="C79" s="305"/>
      <c r="D79" s="305"/>
      <c r="E79" s="305"/>
      <c r="F79" s="305"/>
      <c r="G79" s="305"/>
      <c r="H79" s="305"/>
      <c r="I79" s="305"/>
      <c r="J79" s="305"/>
      <c r="K79" s="305"/>
      <c r="L79" s="305"/>
      <c r="M79" s="305"/>
    </row>
    <row r="80" spans="1:13">
      <c r="A80" s="305"/>
      <c r="B80" s="305"/>
      <c r="C80" s="305"/>
      <c r="D80" s="305"/>
      <c r="E80" s="305"/>
      <c r="F80" s="305"/>
      <c r="G80" s="305"/>
      <c r="H80" s="305"/>
      <c r="I80" s="305"/>
      <c r="J80" s="305"/>
      <c r="K80" s="305"/>
      <c r="L80" s="305"/>
      <c r="M80" s="305"/>
    </row>
    <row r="81" spans="1:13">
      <c r="A81" s="305"/>
      <c r="B81" s="305"/>
      <c r="C81" s="305"/>
      <c r="D81" s="305"/>
      <c r="E81" s="305"/>
      <c r="F81" s="305"/>
      <c r="G81" s="305"/>
      <c r="H81" s="305"/>
      <c r="I81" s="305"/>
      <c r="J81" s="305"/>
      <c r="K81" s="305"/>
      <c r="L81" s="305"/>
      <c r="M81" s="305"/>
    </row>
    <row r="82" spans="1:13">
      <c r="A82" s="305"/>
      <c r="B82" s="305"/>
      <c r="C82" s="305"/>
      <c r="D82" s="305"/>
      <c r="E82" s="305"/>
      <c r="F82" s="305"/>
      <c r="G82" s="305"/>
      <c r="H82" s="305"/>
      <c r="I82" s="305"/>
      <c r="J82" s="305"/>
      <c r="K82" s="305"/>
      <c r="L82" s="305"/>
      <c r="M82" s="305"/>
    </row>
    <row r="83" spans="1:13">
      <c r="A83" s="305"/>
      <c r="B83" s="305"/>
      <c r="C83" s="305"/>
      <c r="D83" s="305"/>
      <c r="E83" s="305"/>
      <c r="F83" s="305"/>
      <c r="G83" s="305"/>
      <c r="H83" s="305"/>
      <c r="I83" s="305"/>
      <c r="J83" s="305"/>
      <c r="K83" s="305"/>
      <c r="L83" s="305"/>
      <c r="M83" s="305"/>
    </row>
    <row r="84" spans="1:13">
      <c r="A84" s="305"/>
      <c r="B84" s="305"/>
      <c r="C84" s="305"/>
      <c r="D84" s="305"/>
      <c r="E84" s="305"/>
      <c r="F84" s="305"/>
      <c r="G84" s="305"/>
      <c r="H84" s="305"/>
      <c r="I84" s="305"/>
      <c r="J84" s="305"/>
      <c r="K84" s="305"/>
      <c r="L84" s="305"/>
      <c r="M84" s="305"/>
    </row>
    <row r="85" spans="1:13">
      <c r="A85" s="305"/>
      <c r="B85" s="305"/>
      <c r="C85" s="305"/>
      <c r="D85" s="305"/>
      <c r="E85" s="305"/>
      <c r="F85" s="305"/>
      <c r="G85" s="305"/>
      <c r="H85" s="305"/>
      <c r="I85" s="305"/>
      <c r="J85" s="305"/>
      <c r="K85" s="305"/>
      <c r="L85" s="305"/>
      <c r="M85" s="305"/>
    </row>
    <row r="86" spans="1:13">
      <c r="A86" s="305"/>
      <c r="B86" s="305"/>
      <c r="C86" s="305"/>
      <c r="D86" s="305"/>
      <c r="E86" s="305"/>
      <c r="F86" s="305"/>
      <c r="G86" s="305"/>
      <c r="H86" s="305"/>
      <c r="I86" s="305"/>
      <c r="J86" s="305"/>
      <c r="K86" s="305"/>
      <c r="L86" s="305"/>
      <c r="M86" s="305"/>
    </row>
    <row r="87" spans="1:13">
      <c r="A87" s="305"/>
      <c r="B87" s="305"/>
      <c r="C87" s="305"/>
      <c r="D87" s="305"/>
      <c r="E87" s="305"/>
      <c r="F87" s="305"/>
      <c r="G87" s="305"/>
      <c r="H87" s="305"/>
      <c r="I87" s="305"/>
      <c r="J87" s="305"/>
      <c r="K87" s="305"/>
      <c r="L87" s="305"/>
      <c r="M87" s="305"/>
    </row>
    <row r="88" spans="1:13">
      <c r="A88" s="305"/>
      <c r="B88" s="305"/>
      <c r="C88" s="305"/>
      <c r="D88" s="305"/>
      <c r="E88" s="305"/>
      <c r="F88" s="305"/>
      <c r="G88" s="305"/>
      <c r="H88" s="305"/>
      <c r="I88" s="305"/>
      <c r="J88" s="305"/>
      <c r="K88" s="305"/>
      <c r="L88" s="305"/>
      <c r="M88" s="305"/>
    </row>
    <row r="89" spans="1:13">
      <c r="A89" s="305"/>
      <c r="B89" s="305"/>
      <c r="C89" s="305"/>
      <c r="D89" s="305"/>
      <c r="E89" s="305"/>
      <c r="F89" s="305"/>
      <c r="G89" s="305"/>
      <c r="H89" s="305"/>
      <c r="I89" s="305"/>
      <c r="J89" s="305"/>
      <c r="K89" s="305"/>
      <c r="L89" s="305"/>
      <c r="M89" s="305"/>
    </row>
    <row r="90" spans="1:13">
      <c r="A90" s="305"/>
      <c r="B90" s="305"/>
      <c r="C90" s="305"/>
      <c r="D90" s="305"/>
      <c r="E90" s="305"/>
      <c r="F90" s="305"/>
      <c r="G90" s="305"/>
      <c r="H90" s="305"/>
      <c r="I90" s="305"/>
      <c r="J90" s="305"/>
      <c r="K90" s="305"/>
      <c r="L90" s="305"/>
      <c r="M90" s="305"/>
    </row>
    <row r="91" spans="1:13">
      <c r="A91" s="305"/>
      <c r="B91" s="305"/>
      <c r="C91" s="305"/>
      <c r="D91" s="305"/>
      <c r="E91" s="305"/>
      <c r="F91" s="305"/>
      <c r="G91" s="305"/>
      <c r="H91" s="305"/>
      <c r="I91" s="305"/>
      <c r="J91" s="305"/>
      <c r="K91" s="305"/>
      <c r="L91" s="305"/>
      <c r="M91" s="305"/>
    </row>
    <row r="92" spans="1:13">
      <c r="A92" s="305"/>
      <c r="B92" s="305"/>
      <c r="C92" s="305"/>
      <c r="D92" s="305"/>
      <c r="E92" s="305"/>
      <c r="F92" s="305"/>
      <c r="G92" s="305"/>
      <c r="H92" s="305"/>
      <c r="I92" s="305"/>
      <c r="J92" s="305"/>
      <c r="K92" s="305"/>
      <c r="L92" s="305"/>
      <c r="M92" s="305"/>
    </row>
    <row r="93" spans="1:13">
      <c r="A93" s="305"/>
      <c r="B93" s="305"/>
      <c r="C93" s="305"/>
      <c r="D93" s="305"/>
      <c r="E93" s="305"/>
      <c r="F93" s="305"/>
      <c r="G93" s="305"/>
      <c r="H93" s="305"/>
      <c r="I93" s="305"/>
      <c r="J93" s="305"/>
      <c r="K93" s="305"/>
      <c r="L93" s="305"/>
      <c r="M93" s="305"/>
    </row>
    <row r="94" spans="1:13">
      <c r="A94" s="305"/>
      <c r="B94" s="305"/>
      <c r="C94" s="305"/>
      <c r="D94" s="305"/>
      <c r="E94" s="305"/>
      <c r="F94" s="305"/>
      <c r="G94" s="305"/>
      <c r="H94" s="305"/>
      <c r="I94" s="305"/>
      <c r="J94" s="305"/>
      <c r="K94" s="305"/>
      <c r="L94" s="305"/>
      <c r="M94" s="305"/>
    </row>
    <row r="95" spans="1:13">
      <c r="A95" s="305"/>
      <c r="B95" s="305"/>
      <c r="C95" s="305"/>
      <c r="D95" s="305"/>
      <c r="E95" s="305"/>
      <c r="F95" s="305"/>
      <c r="G95" s="305"/>
      <c r="H95" s="305"/>
      <c r="I95" s="305"/>
      <c r="J95" s="305"/>
      <c r="K95" s="305"/>
      <c r="L95" s="305"/>
      <c r="M95" s="305"/>
    </row>
    <row r="96" spans="1:13">
      <c r="A96" s="305"/>
      <c r="B96" s="305"/>
      <c r="C96" s="305"/>
      <c r="D96" s="305"/>
      <c r="E96" s="305"/>
      <c r="F96" s="305"/>
      <c r="G96" s="305"/>
      <c r="H96" s="305"/>
      <c r="I96" s="305"/>
      <c r="J96" s="305"/>
      <c r="K96" s="305"/>
      <c r="L96" s="305"/>
      <c r="M96" s="305"/>
    </row>
    <row r="97" spans="1:13">
      <c r="A97" s="305"/>
      <c r="B97" s="305"/>
      <c r="C97" s="305"/>
      <c r="D97" s="305"/>
      <c r="E97" s="305"/>
      <c r="F97" s="305"/>
      <c r="G97" s="305"/>
      <c r="H97" s="305"/>
      <c r="I97" s="305"/>
      <c r="J97" s="305"/>
      <c r="K97" s="305"/>
      <c r="L97" s="305"/>
      <c r="M97" s="305"/>
    </row>
    <row r="98" spans="1:13">
      <c r="A98" s="305"/>
      <c r="B98" s="305"/>
      <c r="C98" s="305"/>
      <c r="D98" s="305"/>
      <c r="E98" s="305"/>
      <c r="F98" s="305"/>
      <c r="G98" s="305"/>
      <c r="H98" s="305"/>
      <c r="I98" s="305"/>
      <c r="J98" s="305"/>
      <c r="K98" s="305"/>
      <c r="L98" s="305"/>
      <c r="M98" s="305"/>
    </row>
    <row r="99" spans="1:13">
      <c r="A99" s="305"/>
      <c r="B99" s="305"/>
      <c r="C99" s="305"/>
      <c r="D99" s="305"/>
      <c r="E99" s="305"/>
      <c r="F99" s="305"/>
      <c r="G99" s="305"/>
      <c r="H99" s="305"/>
      <c r="I99" s="305"/>
      <c r="J99" s="305"/>
      <c r="K99" s="305"/>
      <c r="L99" s="305"/>
      <c r="M99" s="305"/>
    </row>
    <row r="100" spans="1:13">
      <c r="A100" s="305"/>
      <c r="B100" s="305"/>
      <c r="C100" s="305"/>
      <c r="D100" s="305"/>
      <c r="E100" s="305"/>
      <c r="F100" s="305"/>
      <c r="G100" s="305"/>
      <c r="H100" s="305"/>
      <c r="I100" s="305"/>
      <c r="J100" s="305"/>
      <c r="K100" s="305"/>
      <c r="L100" s="305"/>
      <c r="M100" s="305"/>
    </row>
    <row r="101" spans="1:13">
      <c r="A101" s="305"/>
      <c r="B101" s="305"/>
      <c r="C101" s="305"/>
      <c r="D101" s="305"/>
      <c r="E101" s="305"/>
      <c r="F101" s="305"/>
      <c r="G101" s="305"/>
      <c r="H101" s="305"/>
      <c r="I101" s="305"/>
      <c r="J101" s="305"/>
      <c r="K101" s="305"/>
      <c r="L101" s="305"/>
      <c r="M101" s="305"/>
    </row>
    <row r="102" spans="1:13">
      <c r="A102" s="305"/>
      <c r="B102" s="305"/>
      <c r="C102" s="305"/>
      <c r="D102" s="305"/>
      <c r="E102" s="305"/>
      <c r="F102" s="305"/>
      <c r="G102" s="305"/>
      <c r="H102" s="305"/>
      <c r="I102" s="305"/>
      <c r="J102" s="305"/>
      <c r="K102" s="305"/>
      <c r="L102" s="305"/>
      <c r="M102" s="305"/>
    </row>
    <row r="103" spans="1:13">
      <c r="A103" s="305"/>
      <c r="B103" s="305"/>
      <c r="C103" s="305"/>
      <c r="D103" s="305"/>
      <c r="E103" s="305"/>
      <c r="F103" s="305"/>
      <c r="G103" s="305"/>
      <c r="H103" s="305"/>
      <c r="I103" s="305"/>
      <c r="J103" s="305"/>
      <c r="K103" s="305"/>
      <c r="L103" s="305"/>
      <c r="M103" s="305"/>
    </row>
    <row r="104" spans="1:13">
      <c r="A104" s="305"/>
      <c r="B104" s="305"/>
      <c r="C104" s="305"/>
      <c r="D104" s="305"/>
      <c r="E104" s="305"/>
      <c r="F104" s="305"/>
      <c r="G104" s="305"/>
      <c r="H104" s="305"/>
      <c r="I104" s="305"/>
      <c r="J104" s="305"/>
      <c r="K104" s="305"/>
      <c r="L104" s="305"/>
      <c r="M104" s="305"/>
    </row>
    <row r="105" spans="1:13">
      <c r="A105" s="305"/>
      <c r="B105" s="305"/>
      <c r="C105" s="305"/>
      <c r="D105" s="305"/>
      <c r="E105" s="305"/>
      <c r="F105" s="305"/>
      <c r="G105" s="305"/>
      <c r="H105" s="305"/>
      <c r="I105" s="305"/>
      <c r="J105" s="305"/>
      <c r="K105" s="305"/>
      <c r="L105" s="305"/>
      <c r="M105" s="305"/>
    </row>
    <row r="106" spans="1:13">
      <c r="A106" s="305"/>
      <c r="B106" s="305"/>
      <c r="C106" s="305"/>
      <c r="D106" s="305"/>
      <c r="E106" s="305"/>
      <c r="F106" s="305"/>
      <c r="G106" s="305"/>
      <c r="H106" s="305"/>
      <c r="I106" s="305"/>
      <c r="J106" s="305"/>
      <c r="K106" s="305"/>
      <c r="L106" s="305"/>
      <c r="M106" s="305"/>
    </row>
    <row r="107" spans="1:13">
      <c r="A107" s="305"/>
      <c r="B107" s="305"/>
      <c r="C107" s="305"/>
      <c r="D107" s="305"/>
      <c r="E107" s="305"/>
      <c r="F107" s="305"/>
      <c r="G107" s="305"/>
      <c r="H107" s="305"/>
      <c r="I107" s="305"/>
      <c r="J107" s="305"/>
      <c r="K107" s="305"/>
      <c r="L107" s="305"/>
      <c r="M107" s="305"/>
    </row>
    <row r="108" spans="1:13">
      <c r="A108" s="305"/>
      <c r="B108" s="305"/>
      <c r="C108" s="305"/>
      <c r="D108" s="305"/>
      <c r="E108" s="305"/>
      <c r="F108" s="305"/>
      <c r="G108" s="305"/>
      <c r="H108" s="305"/>
      <c r="I108" s="305"/>
      <c r="J108" s="305"/>
      <c r="K108" s="305"/>
      <c r="L108" s="305"/>
      <c r="M108" s="305"/>
    </row>
    <row r="109" spans="1:13">
      <c r="A109" s="305"/>
      <c r="B109" s="305"/>
      <c r="C109" s="305"/>
      <c r="D109" s="305"/>
      <c r="E109" s="305"/>
      <c r="F109" s="305"/>
      <c r="G109" s="305"/>
      <c r="H109" s="305"/>
      <c r="I109" s="305"/>
      <c r="J109" s="305"/>
      <c r="K109" s="305"/>
      <c r="L109" s="305"/>
      <c r="M109" s="305"/>
    </row>
    <row r="110" spans="1:13">
      <c r="A110" s="305"/>
      <c r="B110" s="305"/>
      <c r="C110" s="305"/>
      <c r="D110" s="305"/>
      <c r="E110" s="305"/>
      <c r="F110" s="305"/>
      <c r="G110" s="305"/>
      <c r="H110" s="305"/>
      <c r="I110" s="305"/>
      <c r="J110" s="305"/>
      <c r="K110" s="305"/>
      <c r="L110" s="305"/>
      <c r="M110" s="305"/>
    </row>
    <row r="111" spans="1:13">
      <c r="A111" s="305"/>
      <c r="B111" s="305"/>
      <c r="C111" s="305"/>
      <c r="D111" s="305"/>
      <c r="E111" s="305"/>
      <c r="F111" s="305"/>
      <c r="G111" s="305"/>
      <c r="H111" s="305"/>
      <c r="I111" s="305"/>
      <c r="J111" s="305"/>
      <c r="K111" s="305"/>
      <c r="L111" s="305"/>
      <c r="M111" s="305"/>
    </row>
    <row r="112" spans="1:13">
      <c r="A112" s="305"/>
      <c r="B112" s="305"/>
      <c r="C112" s="305"/>
      <c r="D112" s="305"/>
      <c r="E112" s="305"/>
      <c r="F112" s="305"/>
      <c r="G112" s="305"/>
      <c r="H112" s="305"/>
      <c r="I112" s="305"/>
      <c r="J112" s="305"/>
      <c r="K112" s="305"/>
      <c r="L112" s="305"/>
      <c r="M112" s="305"/>
    </row>
    <row r="113" spans="1:13">
      <c r="A113" s="305"/>
      <c r="B113" s="305"/>
      <c r="C113" s="305"/>
      <c r="D113" s="305"/>
      <c r="E113" s="305"/>
      <c r="F113" s="305"/>
      <c r="G113" s="305"/>
      <c r="H113" s="305"/>
      <c r="I113" s="305"/>
      <c r="J113" s="305"/>
      <c r="K113" s="305"/>
      <c r="L113" s="305"/>
      <c r="M113" s="305"/>
    </row>
    <row r="114" spans="1:13">
      <c r="A114" s="305"/>
      <c r="B114" s="305"/>
      <c r="C114" s="305"/>
      <c r="D114" s="305"/>
      <c r="E114" s="305"/>
      <c r="F114" s="305"/>
      <c r="G114" s="305"/>
      <c r="H114" s="305"/>
      <c r="I114" s="305"/>
      <c r="J114" s="305"/>
      <c r="K114" s="305"/>
      <c r="L114" s="305"/>
      <c r="M114" s="305"/>
    </row>
    <row r="115" spans="1:13">
      <c r="A115" s="305"/>
      <c r="B115" s="305"/>
      <c r="C115" s="305"/>
      <c r="D115" s="305"/>
      <c r="E115" s="305"/>
      <c r="F115" s="305"/>
      <c r="G115" s="305"/>
      <c r="H115" s="305"/>
      <c r="I115" s="305"/>
      <c r="J115" s="305"/>
      <c r="K115" s="305"/>
      <c r="L115" s="305"/>
      <c r="M115" s="305"/>
    </row>
    <row r="116" spans="1:13">
      <c r="A116" s="305"/>
      <c r="B116" s="305"/>
      <c r="C116" s="305"/>
      <c r="D116" s="305"/>
      <c r="E116" s="305"/>
      <c r="F116" s="305"/>
      <c r="G116" s="305"/>
      <c r="H116" s="305"/>
      <c r="I116" s="305"/>
      <c r="J116" s="305"/>
      <c r="K116" s="305"/>
      <c r="L116" s="305"/>
      <c r="M116" s="305"/>
    </row>
    <row r="117" spans="1:13">
      <c r="A117" s="305"/>
      <c r="B117" s="305"/>
      <c r="C117" s="305"/>
      <c r="D117" s="305"/>
      <c r="E117" s="305"/>
      <c r="F117" s="305"/>
      <c r="G117" s="305"/>
      <c r="H117" s="305"/>
      <c r="I117" s="305"/>
      <c r="J117" s="305"/>
      <c r="K117" s="305"/>
      <c r="L117" s="305"/>
      <c r="M117" s="305"/>
    </row>
    <row r="118" spans="1:13">
      <c r="A118" s="305"/>
      <c r="B118" s="305"/>
      <c r="C118" s="305"/>
      <c r="D118" s="305"/>
      <c r="E118" s="305"/>
      <c r="F118" s="305"/>
      <c r="G118" s="305"/>
      <c r="H118" s="305"/>
      <c r="I118" s="305"/>
      <c r="J118" s="305"/>
      <c r="K118" s="305"/>
      <c r="L118" s="305"/>
      <c r="M118" s="305"/>
    </row>
    <row r="119" spans="1:13">
      <c r="A119" s="305"/>
      <c r="B119" s="305"/>
      <c r="C119" s="305"/>
      <c r="D119" s="305"/>
      <c r="E119" s="305"/>
      <c r="F119" s="305"/>
      <c r="G119" s="305"/>
      <c r="H119" s="305"/>
      <c r="I119" s="305"/>
      <c r="J119" s="305"/>
      <c r="K119" s="305"/>
      <c r="L119" s="305"/>
      <c r="M119" s="305"/>
    </row>
    <row r="120" spans="1:13">
      <c r="A120" s="305"/>
      <c r="B120" s="305"/>
      <c r="C120" s="305"/>
      <c r="D120" s="305"/>
      <c r="E120" s="305"/>
      <c r="F120" s="305"/>
      <c r="G120" s="305"/>
      <c r="H120" s="305"/>
      <c r="I120" s="305"/>
      <c r="J120" s="305"/>
      <c r="K120" s="305"/>
      <c r="L120" s="305"/>
      <c r="M120" s="305"/>
    </row>
    <row r="121" spans="1:13">
      <c r="A121" s="305"/>
      <c r="B121" s="305"/>
      <c r="C121" s="305"/>
      <c r="D121" s="305"/>
      <c r="E121" s="305"/>
      <c r="F121" s="305"/>
      <c r="G121" s="305"/>
      <c r="H121" s="305"/>
      <c r="I121" s="305"/>
      <c r="J121" s="305"/>
      <c r="K121" s="305"/>
      <c r="L121" s="305"/>
      <c r="M121" s="305"/>
    </row>
    <row r="122" spans="1:13">
      <c r="A122" s="305"/>
      <c r="B122" s="305"/>
      <c r="C122" s="305"/>
      <c r="D122" s="305"/>
      <c r="E122" s="305"/>
      <c r="F122" s="305"/>
      <c r="G122" s="305"/>
      <c r="H122" s="305"/>
      <c r="I122" s="305"/>
      <c r="J122" s="305"/>
      <c r="K122" s="305"/>
      <c r="L122" s="305"/>
      <c r="M122" s="305"/>
    </row>
    <row r="123" spans="1:13">
      <c r="A123" s="305"/>
      <c r="B123" s="305"/>
      <c r="C123" s="305"/>
      <c r="D123" s="305"/>
      <c r="E123" s="305"/>
      <c r="F123" s="305"/>
      <c r="G123" s="305"/>
      <c r="H123" s="305"/>
      <c r="I123" s="305"/>
      <c r="J123" s="305"/>
      <c r="K123" s="305"/>
      <c r="L123" s="305"/>
      <c r="M123" s="305"/>
    </row>
    <row r="124" spans="1:13">
      <c r="A124" s="305"/>
      <c r="B124" s="305"/>
      <c r="C124" s="305"/>
      <c r="D124" s="305"/>
      <c r="E124" s="305"/>
      <c r="F124" s="305"/>
      <c r="G124" s="305"/>
      <c r="H124" s="305"/>
      <c r="I124" s="305"/>
      <c r="J124" s="305"/>
      <c r="K124" s="305"/>
      <c r="L124" s="305"/>
      <c r="M124" s="305"/>
    </row>
    <row r="125" spans="1:13">
      <c r="A125" s="305"/>
      <c r="B125" s="305"/>
      <c r="C125" s="305"/>
      <c r="D125" s="305"/>
      <c r="E125" s="305"/>
      <c r="F125" s="305"/>
      <c r="G125" s="305"/>
      <c r="H125" s="305"/>
      <c r="I125" s="305"/>
      <c r="J125" s="305"/>
      <c r="K125" s="305"/>
      <c r="L125" s="305"/>
      <c r="M125" s="305"/>
    </row>
    <row r="126" spans="1:13">
      <c r="A126" s="305"/>
      <c r="B126" s="305"/>
      <c r="C126" s="305"/>
      <c r="D126" s="305"/>
      <c r="E126" s="305"/>
      <c r="F126" s="305"/>
      <c r="G126" s="305"/>
      <c r="H126" s="305"/>
      <c r="I126" s="305"/>
      <c r="J126" s="305"/>
      <c r="K126" s="305"/>
      <c r="L126" s="305"/>
      <c r="M126" s="30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3:N56"/>
  <sheetViews>
    <sheetView topLeftCell="A10" workbookViewId="0">
      <selection activeCell="G21" sqref="G21"/>
    </sheetView>
  </sheetViews>
  <sheetFormatPr defaultRowHeight="15"/>
  <sheetData>
    <row r="3" spans="1:14">
      <c r="A3" s="21" t="s">
        <v>0</v>
      </c>
      <c r="B3" s="21" t="s">
        <v>0</v>
      </c>
      <c r="C3" s="21" t="s">
        <v>401</v>
      </c>
      <c r="D3" s="21"/>
      <c r="E3" s="21"/>
      <c r="F3" s="21"/>
      <c r="G3" s="21"/>
      <c r="H3" s="21"/>
      <c r="I3" s="21"/>
      <c r="J3" s="21"/>
      <c r="K3" s="21" t="s">
        <v>382</v>
      </c>
      <c r="L3" s="21"/>
      <c r="M3" s="1"/>
      <c r="N3" s="101"/>
    </row>
    <row r="4" spans="1:1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01"/>
    </row>
    <row r="5" spans="1:1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01"/>
    </row>
    <row r="6" spans="1:14">
      <c r="A6" s="267" t="s">
        <v>4</v>
      </c>
      <c r="B6" s="267"/>
      <c r="C6" s="267"/>
      <c r="D6" s="296" t="s">
        <v>5</v>
      </c>
      <c r="E6" s="296" t="s">
        <v>6</v>
      </c>
      <c r="F6" s="296" t="s">
        <v>7</v>
      </c>
      <c r="G6" s="296" t="s">
        <v>8</v>
      </c>
      <c r="H6" s="296" t="s">
        <v>9</v>
      </c>
      <c r="I6" s="296" t="s">
        <v>10</v>
      </c>
      <c r="J6" s="296" t="s">
        <v>11</v>
      </c>
      <c r="K6" s="296" t="s">
        <v>12</v>
      </c>
      <c r="L6" s="296" t="s">
        <v>13</v>
      </c>
      <c r="M6" s="296"/>
      <c r="N6" s="101"/>
    </row>
    <row r="7" spans="1:14">
      <c r="A7" s="268"/>
      <c r="B7" s="268"/>
      <c r="C7" s="268"/>
      <c r="D7" s="274" t="s">
        <v>14</v>
      </c>
      <c r="E7" s="274" t="s">
        <v>15</v>
      </c>
      <c r="F7" s="274" t="s">
        <v>15</v>
      </c>
      <c r="G7" s="274" t="s">
        <v>16</v>
      </c>
      <c r="H7" s="274" t="s">
        <v>323</v>
      </c>
      <c r="I7" s="274" t="s">
        <v>390</v>
      </c>
      <c r="J7" s="274" t="s">
        <v>325</v>
      </c>
      <c r="K7" s="274" t="s">
        <v>325</v>
      </c>
      <c r="L7" s="274" t="s">
        <v>326</v>
      </c>
      <c r="M7" s="274" t="s">
        <v>327</v>
      </c>
      <c r="N7" s="101"/>
    </row>
    <row r="8" spans="1:14">
      <c r="A8" s="287"/>
      <c r="B8" s="287"/>
      <c r="C8" s="287"/>
      <c r="D8" s="297" t="s">
        <v>21</v>
      </c>
      <c r="E8" s="297"/>
      <c r="F8" s="297"/>
      <c r="G8" s="297"/>
      <c r="H8" s="297" t="s">
        <v>22</v>
      </c>
      <c r="I8" s="297" t="s">
        <v>328</v>
      </c>
      <c r="J8" s="297" t="s">
        <v>22</v>
      </c>
      <c r="K8" s="297" t="s">
        <v>22</v>
      </c>
      <c r="L8" s="297"/>
      <c r="M8" s="297"/>
      <c r="N8" s="101"/>
    </row>
    <row r="9" spans="1:14">
      <c r="A9" s="1" t="s">
        <v>94</v>
      </c>
      <c r="B9" s="1"/>
      <c r="C9" s="1"/>
      <c r="D9" s="58">
        <v>70</v>
      </c>
      <c r="E9" s="68">
        <v>3.6</v>
      </c>
      <c r="F9" s="68">
        <v>1.6</v>
      </c>
      <c r="G9" s="67">
        <v>1207</v>
      </c>
      <c r="H9" s="117">
        <v>4345</v>
      </c>
      <c r="I9" s="7"/>
      <c r="J9" s="7"/>
      <c r="K9" s="7">
        <f>+J9+I9+H9</f>
        <v>4345</v>
      </c>
      <c r="L9" s="1"/>
      <c r="M9" s="1"/>
      <c r="N9" s="102"/>
    </row>
    <row r="10" spans="1:14">
      <c r="A10" s="1" t="s">
        <v>402</v>
      </c>
      <c r="B10" s="1"/>
      <c r="C10" s="1"/>
      <c r="D10" s="275">
        <v>100</v>
      </c>
      <c r="E10" s="117">
        <v>0.7</v>
      </c>
      <c r="F10" s="117">
        <v>0.7</v>
      </c>
      <c r="G10" s="277">
        <v>1432</v>
      </c>
      <c r="H10" s="117">
        <v>1002</v>
      </c>
      <c r="I10" s="7">
        <v>8070</v>
      </c>
      <c r="J10" s="7"/>
      <c r="K10" s="7">
        <f t="shared" ref="K10:K13" si="0">+J10+I10+H10</f>
        <v>9072</v>
      </c>
      <c r="L10" s="7">
        <v>188</v>
      </c>
      <c r="M10" s="1"/>
      <c r="N10" s="102"/>
    </row>
    <row r="11" spans="1:14">
      <c r="A11" s="1" t="s">
        <v>172</v>
      </c>
      <c r="B11" s="1"/>
      <c r="C11" s="1"/>
      <c r="D11" s="275">
        <v>100</v>
      </c>
      <c r="E11" s="117">
        <v>6.8</v>
      </c>
      <c r="F11" s="117">
        <v>2.2000000000000002</v>
      </c>
      <c r="G11" s="277">
        <v>1432</v>
      </c>
      <c r="H11" s="117">
        <v>9738</v>
      </c>
      <c r="I11" s="7"/>
      <c r="J11" s="7"/>
      <c r="K11" s="7">
        <f t="shared" si="0"/>
        <v>9738</v>
      </c>
      <c r="L11" s="1"/>
      <c r="M11" s="7"/>
      <c r="N11" s="102"/>
    </row>
    <row r="12" spans="1:14">
      <c r="A12" s="1" t="s">
        <v>86</v>
      </c>
      <c r="B12" s="1"/>
      <c r="C12" s="1"/>
      <c r="D12" s="275">
        <v>97</v>
      </c>
      <c r="E12" s="117">
        <v>4.5</v>
      </c>
      <c r="F12" s="117">
        <v>1.9</v>
      </c>
      <c r="G12" s="277">
        <v>1487</v>
      </c>
      <c r="H12" s="117">
        <v>6692</v>
      </c>
      <c r="I12" s="7"/>
      <c r="J12" s="7">
        <v>10902</v>
      </c>
      <c r="K12" s="7">
        <f t="shared" si="0"/>
        <v>17594</v>
      </c>
      <c r="L12" s="1"/>
      <c r="M12" s="11"/>
      <c r="N12" s="102"/>
    </row>
    <row r="13" spans="1:14">
      <c r="A13" s="1" t="s">
        <v>37</v>
      </c>
      <c r="B13" s="1"/>
      <c r="C13" s="1"/>
      <c r="D13" s="275">
        <v>90</v>
      </c>
      <c r="E13" s="117">
        <v>7.9</v>
      </c>
      <c r="F13" s="117">
        <v>3.7</v>
      </c>
      <c r="G13" s="277">
        <v>1414</v>
      </c>
      <c r="H13" s="117">
        <v>11171</v>
      </c>
      <c r="I13" s="7"/>
      <c r="J13" s="7"/>
      <c r="K13" s="7">
        <f t="shared" si="0"/>
        <v>11171</v>
      </c>
      <c r="L13" s="1"/>
      <c r="M13" s="11"/>
      <c r="N13" s="102"/>
    </row>
    <row r="14" spans="1:14">
      <c r="A14" s="1" t="s">
        <v>173</v>
      </c>
      <c r="B14" s="1"/>
      <c r="C14" s="1"/>
      <c r="D14" s="58" t="s">
        <v>174</v>
      </c>
      <c r="E14" s="66" t="s">
        <v>175</v>
      </c>
      <c r="F14" s="66" t="s">
        <v>176</v>
      </c>
      <c r="G14" s="67" t="s">
        <v>84</v>
      </c>
      <c r="H14" s="68" t="s">
        <v>216</v>
      </c>
      <c r="I14" s="1"/>
      <c r="J14" s="7"/>
      <c r="K14" s="7"/>
      <c r="L14" s="1"/>
      <c r="M14" s="11"/>
      <c r="N14" s="102"/>
    </row>
    <row r="15" spans="1:14">
      <c r="A15" s="1" t="s">
        <v>177</v>
      </c>
      <c r="B15" s="1"/>
      <c r="C15" s="1"/>
      <c r="D15" s="275">
        <v>80</v>
      </c>
      <c r="E15" s="288"/>
      <c r="F15" s="288"/>
      <c r="G15" s="277"/>
      <c r="H15" s="117"/>
      <c r="I15" s="1"/>
      <c r="J15" s="7"/>
      <c r="K15" s="7"/>
      <c r="L15" s="1"/>
      <c r="M15" s="1"/>
      <c r="N15" s="102"/>
    </row>
    <row r="16" spans="1:14">
      <c r="A16" s="298" t="s">
        <v>403</v>
      </c>
      <c r="B16" s="1"/>
      <c r="C16" s="1"/>
      <c r="D16" s="48" t="s">
        <v>100</v>
      </c>
      <c r="E16" s="66" t="s">
        <v>159</v>
      </c>
      <c r="F16" s="66" t="s">
        <v>178</v>
      </c>
      <c r="G16" s="68" t="s">
        <v>179</v>
      </c>
      <c r="H16" s="68" t="s">
        <v>217</v>
      </c>
      <c r="I16" s="1"/>
      <c r="J16" s="7"/>
      <c r="K16" s="7"/>
      <c r="L16" s="1"/>
      <c r="M16" s="1"/>
      <c r="N16" s="102"/>
    </row>
    <row r="17" spans="1:14">
      <c r="A17" s="15" t="s">
        <v>333</v>
      </c>
      <c r="B17" s="15"/>
      <c r="C17" s="15"/>
      <c r="D17" s="16"/>
      <c r="E17" s="17">
        <f>SUM(E9:E16)</f>
        <v>23.5</v>
      </c>
      <c r="F17" s="17">
        <f>SUM(F9:F16)</f>
        <v>10.100000000000001</v>
      </c>
      <c r="G17" s="17"/>
      <c r="H17" s="17">
        <f>SUM(H9:H16)</f>
        <v>32948</v>
      </c>
      <c r="I17" s="17">
        <f>SUM(I9:I16)</f>
        <v>8070</v>
      </c>
      <c r="J17" s="17">
        <f>SUM(J9:J16)</f>
        <v>10902</v>
      </c>
      <c r="K17" s="17">
        <f>SUM(K9:K16)</f>
        <v>51920</v>
      </c>
      <c r="L17" s="17">
        <f>SUM(L9:L16)</f>
        <v>188</v>
      </c>
      <c r="M17" s="17"/>
      <c r="N17" s="102"/>
    </row>
    <row r="18" spans="1:14">
      <c r="A18" s="18" t="s">
        <v>334</v>
      </c>
      <c r="B18" s="18"/>
      <c r="C18" s="18"/>
      <c r="D18" s="19"/>
      <c r="E18" s="20"/>
      <c r="F18" s="20"/>
      <c r="G18" s="20"/>
      <c r="H18" s="20">
        <f>SUM(E28*G28)</f>
        <v>18629</v>
      </c>
      <c r="I18" s="20">
        <f>I17-L17</f>
        <v>7882</v>
      </c>
      <c r="J18" s="20">
        <f>J17-M17</f>
        <v>10902</v>
      </c>
      <c r="K18" s="20">
        <f>SUM(H18:J18)</f>
        <v>37413</v>
      </c>
      <c r="L18" s="18"/>
      <c r="M18" s="18"/>
      <c r="N18" s="102"/>
    </row>
    <row r="19" spans="1:14">
      <c r="A19" s="21"/>
      <c r="B19" s="1"/>
      <c r="C19" s="1"/>
      <c r="D19" s="1"/>
      <c r="E19" s="1"/>
      <c r="F19" s="1"/>
      <c r="G19" s="7"/>
      <c r="H19" s="1"/>
      <c r="I19" s="7"/>
      <c r="J19" s="1"/>
      <c r="K19" s="7"/>
      <c r="L19" s="1"/>
      <c r="M19" s="1"/>
      <c r="N19" s="102"/>
    </row>
    <row r="20" spans="1:14">
      <c r="A20" s="1"/>
      <c r="B20" s="1"/>
      <c r="C20" s="21" t="s">
        <v>45</v>
      </c>
      <c r="D20" s="21"/>
      <c r="E20" s="21"/>
      <c r="F20" s="1"/>
      <c r="G20" s="1"/>
      <c r="H20" s="1"/>
      <c r="I20" s="7"/>
      <c r="J20" s="7"/>
      <c r="K20" s="7"/>
      <c r="L20" s="1"/>
      <c r="M20" s="1"/>
      <c r="N20" s="102"/>
    </row>
    <row r="21" spans="1:14">
      <c r="A21" s="1"/>
      <c r="B21" s="1"/>
      <c r="C21" s="21"/>
      <c r="D21" s="21"/>
      <c r="E21" s="21"/>
      <c r="F21" s="1"/>
      <c r="G21" s="1"/>
      <c r="H21" s="1"/>
      <c r="I21" s="1"/>
      <c r="J21" s="1"/>
      <c r="K21" s="7"/>
      <c r="L21" s="1"/>
      <c r="M21" s="1"/>
      <c r="N21" s="102"/>
    </row>
    <row r="22" spans="1:14">
      <c r="A22" s="21" t="s">
        <v>46</v>
      </c>
      <c r="B22" s="21"/>
      <c r="C22" s="21"/>
      <c r="D22" s="21"/>
      <c r="E22" s="21"/>
      <c r="F22" s="21"/>
      <c r="G22" s="21"/>
      <c r="H22" s="1"/>
      <c r="I22" s="1"/>
      <c r="J22" s="1"/>
      <c r="K22" s="1"/>
      <c r="L22" s="1"/>
      <c r="M22" s="1"/>
      <c r="N22" s="101"/>
    </row>
    <row r="23" spans="1:14">
      <c r="A23" s="260" t="s">
        <v>47</v>
      </c>
      <c r="B23" s="260"/>
      <c r="C23" s="260"/>
      <c r="D23" s="260" t="s">
        <v>48</v>
      </c>
      <c r="E23" s="260" t="s">
        <v>49</v>
      </c>
      <c r="F23" s="260"/>
      <c r="G23" s="260" t="s">
        <v>50</v>
      </c>
      <c r="H23" s="1"/>
      <c r="I23" s="23" t="s">
        <v>51</v>
      </c>
      <c r="J23" s="24" t="s">
        <v>52</v>
      </c>
      <c r="K23" s="1"/>
      <c r="L23" s="1"/>
      <c r="M23" s="1"/>
      <c r="N23" s="101"/>
    </row>
    <row r="24" spans="1:14">
      <c r="A24" s="21" t="s">
        <v>53</v>
      </c>
      <c r="B24" s="1"/>
      <c r="C24" s="1"/>
      <c r="D24" s="1"/>
      <c r="E24" s="1"/>
      <c r="F24" s="1"/>
      <c r="G24" s="1"/>
      <c r="H24" s="1"/>
      <c r="I24" s="46" t="s">
        <v>180</v>
      </c>
      <c r="J24" s="73">
        <v>91</v>
      </c>
      <c r="K24" s="1"/>
      <c r="L24" s="1"/>
      <c r="M24" s="1"/>
      <c r="N24" s="101"/>
    </row>
    <row r="25" spans="1:14">
      <c r="A25" s="1" t="s">
        <v>246</v>
      </c>
      <c r="B25" s="12"/>
      <c r="C25" s="1"/>
      <c r="D25" s="26" t="s">
        <v>404</v>
      </c>
      <c r="E25" s="7">
        <v>3969</v>
      </c>
      <c r="F25" s="7"/>
      <c r="G25" s="7"/>
      <c r="H25" s="1"/>
      <c r="I25" s="49" t="s">
        <v>181</v>
      </c>
      <c r="J25" s="74">
        <v>9</v>
      </c>
      <c r="K25" s="1"/>
      <c r="L25" s="1"/>
      <c r="M25" s="1"/>
      <c r="N25" s="101"/>
    </row>
    <row r="26" spans="1:14">
      <c r="A26" s="1"/>
      <c r="B26" s="1"/>
      <c r="C26" s="1"/>
      <c r="D26" s="26"/>
      <c r="E26" s="12"/>
      <c r="F26" s="1"/>
      <c r="G26" s="12"/>
      <c r="H26" s="1"/>
      <c r="I26" s="27"/>
      <c r="J26" s="28"/>
      <c r="K26" s="1"/>
      <c r="L26" s="1"/>
      <c r="M26" s="1"/>
      <c r="N26" s="101"/>
    </row>
    <row r="27" spans="1:14">
      <c r="A27" s="21" t="s">
        <v>57</v>
      </c>
      <c r="B27" s="1"/>
      <c r="C27" s="1"/>
      <c r="D27" s="26"/>
      <c r="E27" s="1"/>
      <c r="F27" s="1"/>
      <c r="G27" s="1"/>
      <c r="H27" s="1"/>
      <c r="I27" s="1"/>
      <c r="J27" s="1"/>
      <c r="K27" s="11"/>
      <c r="L27" s="1"/>
      <c r="M27" s="1"/>
      <c r="N27" s="101"/>
    </row>
    <row r="28" spans="1:14">
      <c r="A28" s="1" t="s">
        <v>270</v>
      </c>
      <c r="B28" s="1"/>
      <c r="C28" s="1"/>
      <c r="D28" s="26" t="s">
        <v>59</v>
      </c>
      <c r="E28" s="7">
        <v>13</v>
      </c>
      <c r="F28" s="11"/>
      <c r="G28" s="7">
        <v>1433</v>
      </c>
      <c r="H28" s="1"/>
      <c r="I28" s="15" t="s">
        <v>60</v>
      </c>
      <c r="J28" s="17">
        <v>1.7</v>
      </c>
      <c r="K28" s="11"/>
      <c r="L28" s="1"/>
      <c r="M28" s="1"/>
      <c r="N28" s="101"/>
    </row>
    <row r="29" spans="1:14">
      <c r="A29" s="1" t="s">
        <v>337</v>
      </c>
      <c r="B29" s="1"/>
      <c r="C29" s="1"/>
      <c r="D29" s="26" t="s">
        <v>59</v>
      </c>
      <c r="E29" s="7">
        <v>10</v>
      </c>
      <c r="F29" s="11"/>
      <c r="G29" s="11"/>
      <c r="H29" s="1"/>
      <c r="I29" s="18" t="s">
        <v>62</v>
      </c>
      <c r="J29" s="20">
        <v>1</v>
      </c>
      <c r="K29" s="1"/>
      <c r="L29" s="1"/>
      <c r="M29" s="1"/>
      <c r="N29" s="101"/>
    </row>
    <row r="30" spans="1:14">
      <c r="A30" s="1" t="s">
        <v>6</v>
      </c>
      <c r="B30" s="1"/>
      <c r="C30" s="1"/>
      <c r="D30" s="1"/>
      <c r="E30" s="7">
        <f>+E29+E28</f>
        <v>23</v>
      </c>
      <c r="F30" s="11"/>
      <c r="G30" s="11"/>
      <c r="H30" s="1"/>
      <c r="I30" s="1"/>
      <c r="J30" s="1"/>
      <c r="K30" s="29"/>
      <c r="L30" s="1"/>
      <c r="M30" s="1"/>
      <c r="N30" s="101"/>
    </row>
    <row r="31" spans="1:1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01"/>
    </row>
    <row r="32" spans="1:14">
      <c r="A32" s="262" t="s">
        <v>395</v>
      </c>
      <c r="B32" s="15"/>
      <c r="C32" s="262" t="s">
        <v>375</v>
      </c>
      <c r="D32" s="15"/>
      <c r="E32" s="15"/>
      <c r="F32" s="15"/>
      <c r="G32" s="15"/>
      <c r="H32" s="11"/>
      <c r="I32" s="1"/>
      <c r="J32" s="1"/>
      <c r="K32" s="1"/>
      <c r="L32" s="1"/>
      <c r="M32" s="1"/>
      <c r="N32" s="101"/>
    </row>
    <row r="33" spans="1:14">
      <c r="A33" s="1"/>
      <c r="B33" s="3"/>
      <c r="C33" s="270" t="s">
        <v>405</v>
      </c>
      <c r="D33" s="27"/>
      <c r="E33" s="27"/>
      <c r="F33" s="27"/>
      <c r="G33" s="27"/>
      <c r="H33" s="1"/>
      <c r="I33" s="1"/>
      <c r="J33" s="1"/>
      <c r="K33" s="11"/>
      <c r="L33" s="1"/>
      <c r="M33" s="1"/>
      <c r="N33" s="101"/>
    </row>
    <row r="34" spans="1:14">
      <c r="A34" s="27" t="s">
        <v>406</v>
      </c>
      <c r="B34" s="3"/>
      <c r="C34" s="167">
        <v>90</v>
      </c>
      <c r="D34" s="32" t="s">
        <v>69</v>
      </c>
      <c r="E34" s="34">
        <v>474</v>
      </c>
      <c r="F34" s="27"/>
      <c r="G34" s="34">
        <v>23</v>
      </c>
      <c r="H34" s="1"/>
      <c r="I34" s="1"/>
      <c r="J34" s="1"/>
      <c r="K34" s="1"/>
      <c r="L34" s="1"/>
      <c r="M34" s="1"/>
      <c r="N34" s="101"/>
    </row>
    <row r="35" spans="1:14">
      <c r="A35" s="1"/>
      <c r="B35" s="3"/>
      <c r="C35" s="31"/>
      <c r="D35" s="32"/>
      <c r="E35" s="33"/>
      <c r="F35" s="27"/>
      <c r="G35" s="33"/>
      <c r="H35" s="1"/>
      <c r="I35" s="1"/>
      <c r="J35" s="1"/>
      <c r="K35" s="1"/>
      <c r="L35" s="1"/>
      <c r="M35" s="1"/>
      <c r="N35" s="101"/>
    </row>
    <row r="36" spans="1:14">
      <c r="A36" s="262" t="s">
        <v>70</v>
      </c>
      <c r="B36" s="15"/>
      <c r="C36" s="15"/>
      <c r="D36" s="15"/>
      <c r="E36" s="15"/>
      <c r="F36" s="15"/>
      <c r="G36" s="255" t="s">
        <v>340</v>
      </c>
      <c r="H36" s="266"/>
      <c r="I36" s="266" t="s">
        <v>341</v>
      </c>
      <c r="J36" s="1"/>
      <c r="K36" s="1"/>
      <c r="L36" s="1"/>
      <c r="M36" s="1"/>
      <c r="N36" s="101"/>
    </row>
    <row r="37" spans="1:14">
      <c r="A37" s="27" t="s">
        <v>407</v>
      </c>
      <c r="B37" s="27"/>
      <c r="C37" s="27"/>
      <c r="D37" s="27"/>
      <c r="E37" s="27"/>
      <c r="F37" s="27"/>
      <c r="G37" s="55">
        <v>5072</v>
      </c>
      <c r="H37" s="1"/>
      <c r="I37" s="7">
        <v>12533</v>
      </c>
      <c r="J37" s="1"/>
      <c r="K37" s="11"/>
      <c r="L37" s="1"/>
      <c r="M37" s="1"/>
      <c r="N37" s="101"/>
    </row>
    <row r="38" spans="1:14">
      <c r="A38" s="27" t="s">
        <v>343</v>
      </c>
      <c r="B38" s="27"/>
      <c r="C38" s="27"/>
      <c r="D38" s="27"/>
      <c r="E38" s="27"/>
      <c r="F38" s="27"/>
      <c r="G38" s="56">
        <v>51</v>
      </c>
      <c r="H38" s="1"/>
      <c r="I38" s="7"/>
      <c r="J38" s="1"/>
      <c r="K38" s="11"/>
      <c r="L38" s="1"/>
      <c r="M38" s="1"/>
      <c r="N38" s="101"/>
    </row>
    <row r="39" spans="1:14">
      <c r="A39" s="27" t="s">
        <v>344</v>
      </c>
      <c r="B39" s="27"/>
      <c r="C39" s="27"/>
      <c r="D39" s="27"/>
      <c r="E39" s="27"/>
      <c r="F39" s="27"/>
      <c r="G39" s="56">
        <f>+G38*G37</f>
        <v>258672</v>
      </c>
      <c r="H39" s="36"/>
      <c r="I39" s="7">
        <v>639179</v>
      </c>
      <c r="J39" s="1"/>
      <c r="K39" s="11"/>
      <c r="L39" s="1"/>
      <c r="M39" s="1"/>
      <c r="N39" s="101"/>
    </row>
    <row r="40" spans="1:14">
      <c r="A40" s="27" t="s">
        <v>345</v>
      </c>
      <c r="B40" s="27"/>
      <c r="C40" s="27"/>
      <c r="D40" s="27"/>
      <c r="E40" s="27"/>
      <c r="F40" s="27"/>
      <c r="G40" s="56">
        <f>+G39-K17</f>
        <v>206752</v>
      </c>
      <c r="H40" s="36"/>
      <c r="I40" s="7">
        <v>510884</v>
      </c>
      <c r="J40" s="11"/>
      <c r="K40" s="11"/>
      <c r="L40" s="1"/>
      <c r="M40" s="1"/>
      <c r="N40" s="101"/>
    </row>
    <row r="41" spans="1:14">
      <c r="A41" s="27" t="s">
        <v>408</v>
      </c>
      <c r="B41" s="27"/>
      <c r="C41" s="27"/>
      <c r="D41" s="27"/>
      <c r="E41" s="27"/>
      <c r="F41" s="27"/>
      <c r="G41" s="56">
        <f>+G39-K18</f>
        <v>221259</v>
      </c>
      <c r="H41" s="36"/>
      <c r="I41" s="7">
        <v>546731</v>
      </c>
      <c r="J41" s="1"/>
      <c r="K41" s="11"/>
      <c r="L41" s="1"/>
      <c r="M41" s="1"/>
      <c r="N41" s="101"/>
    </row>
    <row r="42" spans="1:14">
      <c r="A42" s="27"/>
      <c r="B42" s="27"/>
      <c r="C42" s="27"/>
      <c r="D42" s="27"/>
      <c r="E42" s="27"/>
      <c r="F42" s="27"/>
      <c r="G42" s="56"/>
      <c r="H42" s="36"/>
      <c r="I42" s="36"/>
      <c r="J42" s="1"/>
      <c r="K42" s="1"/>
      <c r="L42" s="1"/>
      <c r="M42" s="1"/>
      <c r="N42" s="101"/>
    </row>
    <row r="43" spans="1:14">
      <c r="A43" s="27" t="s">
        <v>347</v>
      </c>
      <c r="B43" s="27"/>
      <c r="C43" s="27"/>
      <c r="D43" s="27"/>
      <c r="E43" s="27"/>
      <c r="F43" s="27"/>
      <c r="G43" s="56">
        <f>+K17/G37</f>
        <v>10.236593059936908</v>
      </c>
      <c r="H43" s="1"/>
      <c r="I43" s="1"/>
      <c r="J43" s="1"/>
      <c r="K43" s="1"/>
      <c r="L43" s="1"/>
      <c r="M43" s="1"/>
      <c r="N43" s="231"/>
    </row>
    <row r="44" spans="1:14">
      <c r="A44" s="18" t="s">
        <v>348</v>
      </c>
      <c r="B44" s="18"/>
      <c r="C44" s="18"/>
      <c r="D44" s="18"/>
      <c r="E44" s="18"/>
      <c r="F44" s="18"/>
      <c r="G44" s="57">
        <f>+K18/G37</f>
        <v>7.3763801261829656</v>
      </c>
      <c r="H44" s="1"/>
      <c r="I44" s="1"/>
      <c r="J44" s="1"/>
      <c r="K44" s="1"/>
      <c r="L44" s="1"/>
      <c r="M44" s="1"/>
      <c r="N44" s="231"/>
    </row>
    <row r="45" spans="1:1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231"/>
    </row>
    <row r="46" spans="1:14">
      <c r="A46" s="27"/>
      <c r="B46" s="27"/>
      <c r="C46" s="27"/>
      <c r="D46" s="27"/>
      <c r="E46" s="27"/>
      <c r="F46" s="27"/>
      <c r="G46" s="35"/>
      <c r="H46" s="56"/>
      <c r="I46" s="34"/>
      <c r="J46" s="27"/>
      <c r="K46" s="28"/>
      <c r="L46" s="27"/>
      <c r="M46" s="27"/>
      <c r="N46" s="231"/>
    </row>
    <row r="47" spans="1:14">
      <c r="A47" s="27"/>
      <c r="B47" s="27"/>
      <c r="C47" s="27"/>
      <c r="D47" s="27"/>
      <c r="E47" s="27"/>
      <c r="F47" s="27"/>
      <c r="G47" s="35"/>
      <c r="H47" s="56"/>
      <c r="I47" s="34"/>
      <c r="J47" s="27"/>
      <c r="K47" s="28"/>
      <c r="L47" s="27"/>
      <c r="M47" s="27"/>
      <c r="N47" s="231"/>
    </row>
    <row r="48" spans="1:14">
      <c r="A48" s="27"/>
      <c r="B48" s="27"/>
      <c r="C48" s="27"/>
      <c r="D48" s="27"/>
      <c r="E48" s="27"/>
      <c r="F48" s="27"/>
      <c r="G48" s="35"/>
      <c r="H48" s="56"/>
      <c r="I48" s="34"/>
      <c r="J48" s="27"/>
      <c r="K48" s="28"/>
      <c r="L48" s="27"/>
      <c r="M48" s="27"/>
      <c r="N48" s="231"/>
    </row>
    <row r="49" spans="1:14">
      <c r="A49" s="27"/>
      <c r="B49" s="27"/>
      <c r="C49" s="27"/>
      <c r="D49" s="27"/>
      <c r="E49" s="27"/>
      <c r="F49" s="27"/>
      <c r="G49" s="35"/>
      <c r="H49" s="56"/>
      <c r="I49" s="56"/>
      <c r="J49" s="27"/>
      <c r="K49" s="27"/>
      <c r="L49" s="27"/>
      <c r="M49" s="27"/>
      <c r="N49" s="231"/>
    </row>
    <row r="50" spans="1:14">
      <c r="A50" s="27"/>
      <c r="B50" s="27"/>
      <c r="C50" s="27"/>
      <c r="D50" s="27"/>
      <c r="E50" s="27"/>
      <c r="F50" s="27"/>
      <c r="G50" s="35"/>
      <c r="H50" s="27"/>
      <c r="I50" s="27"/>
      <c r="J50" s="27"/>
      <c r="K50" s="27"/>
      <c r="L50" s="27"/>
      <c r="M50" s="27"/>
      <c r="N50" s="231"/>
    </row>
    <row r="51" spans="1:14">
      <c r="A51" s="27"/>
      <c r="B51" s="27"/>
      <c r="C51" s="27"/>
      <c r="D51" s="27"/>
      <c r="E51" s="27"/>
      <c r="F51" s="27"/>
      <c r="G51" s="35"/>
      <c r="H51" s="27"/>
      <c r="I51" s="27"/>
      <c r="J51" s="27"/>
      <c r="K51" s="27"/>
      <c r="L51" s="27"/>
      <c r="M51" s="27"/>
      <c r="N51" s="231"/>
    </row>
    <row r="52" spans="1:14">
      <c r="A52" s="27"/>
      <c r="B52" s="27"/>
      <c r="C52" s="27"/>
      <c r="D52" s="27"/>
      <c r="E52" s="27"/>
      <c r="F52" s="27"/>
      <c r="G52" s="32"/>
      <c r="H52" s="27"/>
      <c r="I52" s="27"/>
      <c r="J52" s="27"/>
      <c r="K52" s="27"/>
      <c r="L52" s="27"/>
      <c r="M52" s="27"/>
      <c r="N52" s="231"/>
    </row>
    <row r="53" spans="1:14">
      <c r="A53" s="169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31"/>
    </row>
    <row r="54" spans="1:1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31"/>
    </row>
    <row r="55" spans="1:14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31"/>
    </row>
    <row r="56" spans="1:14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3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3:N141"/>
  <sheetViews>
    <sheetView topLeftCell="A13" workbookViewId="0">
      <selection activeCell="A3" sqref="A3:M141"/>
    </sheetView>
  </sheetViews>
  <sheetFormatPr defaultRowHeight="15"/>
  <sheetData>
    <row r="3" spans="1:14">
      <c r="A3" s="21" t="s">
        <v>0</v>
      </c>
      <c r="B3" s="21" t="s">
        <v>411</v>
      </c>
      <c r="C3" s="21"/>
      <c r="D3" s="21"/>
      <c r="E3" s="21"/>
      <c r="F3" s="21"/>
      <c r="G3" s="21"/>
      <c r="H3" s="1"/>
      <c r="I3" s="1"/>
      <c r="J3" s="21" t="s">
        <v>81</v>
      </c>
      <c r="K3" s="121"/>
      <c r="L3" s="121"/>
      <c r="M3" s="121"/>
      <c r="N3" s="170"/>
    </row>
    <row r="4" spans="1:14">
      <c r="A4" s="121"/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70"/>
    </row>
    <row r="5" spans="1:14">
      <c r="A5" s="121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70"/>
    </row>
    <row r="6" spans="1:14">
      <c r="A6" s="232" t="s">
        <v>4</v>
      </c>
      <c r="B6" s="232"/>
      <c r="C6" s="232"/>
      <c r="D6" s="232" t="s">
        <v>5</v>
      </c>
      <c r="E6" s="232" t="s">
        <v>6</v>
      </c>
      <c r="F6" s="232" t="s">
        <v>7</v>
      </c>
      <c r="G6" s="232" t="s">
        <v>8</v>
      </c>
      <c r="H6" s="232" t="s">
        <v>9</v>
      </c>
      <c r="I6" s="232" t="s">
        <v>10</v>
      </c>
      <c r="J6" s="232" t="s">
        <v>11</v>
      </c>
      <c r="K6" s="232" t="s">
        <v>12</v>
      </c>
      <c r="L6" s="232" t="s">
        <v>319</v>
      </c>
      <c r="M6" s="232"/>
      <c r="N6" s="170"/>
    </row>
    <row r="7" spans="1:14">
      <c r="A7" s="292"/>
      <c r="B7" s="292"/>
      <c r="C7" s="292"/>
      <c r="D7" s="292" t="s">
        <v>320</v>
      </c>
      <c r="E7" s="292" t="s">
        <v>321</v>
      </c>
      <c r="F7" s="292" t="s">
        <v>321</v>
      </c>
      <c r="G7" s="292" t="s">
        <v>322</v>
      </c>
      <c r="H7" s="292" t="s">
        <v>378</v>
      </c>
      <c r="I7" s="292" t="s">
        <v>324</v>
      </c>
      <c r="J7" s="292" t="s">
        <v>328</v>
      </c>
      <c r="K7" s="292" t="s">
        <v>328</v>
      </c>
      <c r="L7" s="292" t="s">
        <v>326</v>
      </c>
      <c r="M7" s="292" t="s">
        <v>327</v>
      </c>
    </row>
    <row r="8" spans="1:14">
      <c r="A8" s="293"/>
      <c r="B8" s="293"/>
      <c r="C8" s="293"/>
      <c r="D8" s="293" t="s">
        <v>21</v>
      </c>
      <c r="E8" s="293"/>
      <c r="F8" s="293"/>
      <c r="G8" s="293"/>
      <c r="H8" s="293" t="s">
        <v>352</v>
      </c>
      <c r="I8" s="293" t="s">
        <v>328</v>
      </c>
      <c r="J8" s="293"/>
      <c r="K8" s="293"/>
      <c r="L8" s="293"/>
      <c r="M8" s="293"/>
    </row>
    <row r="9" spans="1:14">
      <c r="A9" s="121" t="s">
        <v>94</v>
      </c>
      <c r="B9" s="121"/>
      <c r="C9" s="121"/>
      <c r="D9" s="125">
        <v>70</v>
      </c>
      <c r="E9" s="128">
        <v>8.9</v>
      </c>
      <c r="F9" s="128">
        <v>2.4</v>
      </c>
      <c r="G9" s="127">
        <v>1267</v>
      </c>
      <c r="H9" s="128">
        <v>11276</v>
      </c>
      <c r="I9" s="121"/>
      <c r="J9" s="128"/>
      <c r="K9" s="128">
        <f>SUM(H9:J9)</f>
        <v>11276</v>
      </c>
      <c r="L9" s="121"/>
      <c r="M9" s="121"/>
    </row>
    <row r="10" spans="1:14">
      <c r="A10" s="121" t="s">
        <v>99</v>
      </c>
      <c r="B10" s="121"/>
      <c r="C10" s="121"/>
      <c r="D10" s="125">
        <v>90</v>
      </c>
      <c r="E10" s="128">
        <v>1.6</v>
      </c>
      <c r="F10" s="128">
        <v>1.6</v>
      </c>
      <c r="G10" s="127">
        <v>1230</v>
      </c>
      <c r="H10" s="128">
        <v>1968</v>
      </c>
      <c r="I10" s="121">
        <v>11100</v>
      </c>
      <c r="J10" s="128"/>
      <c r="K10" s="128">
        <f t="shared" ref="K10:K19" si="0">SUM(H10:J10)</f>
        <v>13068</v>
      </c>
      <c r="L10" s="128">
        <v>4042</v>
      </c>
      <c r="M10" s="121"/>
    </row>
    <row r="11" spans="1:14">
      <c r="A11" s="132" t="s">
        <v>412</v>
      </c>
      <c r="B11" s="121"/>
      <c r="C11" s="121"/>
      <c r="D11" s="129" t="s">
        <v>188</v>
      </c>
      <c r="E11" s="131" t="s">
        <v>189</v>
      </c>
      <c r="F11" s="131" t="s">
        <v>190</v>
      </c>
      <c r="G11" s="127">
        <v>1230</v>
      </c>
      <c r="H11" s="131" t="s">
        <v>413</v>
      </c>
      <c r="I11" s="121"/>
      <c r="J11" s="128"/>
      <c r="K11" s="128"/>
      <c r="L11" s="121"/>
      <c r="M11" s="121"/>
    </row>
    <row r="12" spans="1:14">
      <c r="A12" s="121" t="s">
        <v>101</v>
      </c>
      <c r="B12" s="121"/>
      <c r="C12" s="121"/>
      <c r="D12" s="125">
        <v>100</v>
      </c>
      <c r="E12" s="128">
        <v>10.8</v>
      </c>
      <c r="F12" s="128">
        <v>2.7</v>
      </c>
      <c r="G12" s="127">
        <v>1287</v>
      </c>
      <c r="H12" s="128">
        <v>13900</v>
      </c>
      <c r="I12" s="121"/>
      <c r="J12" s="128">
        <v>3130</v>
      </c>
      <c r="K12" s="128">
        <f t="shared" si="0"/>
        <v>17030</v>
      </c>
      <c r="L12" s="121"/>
      <c r="M12" s="121"/>
    </row>
    <row r="13" spans="1:14">
      <c r="A13" s="121" t="s">
        <v>85</v>
      </c>
      <c r="B13" s="121"/>
      <c r="C13" s="121"/>
      <c r="D13" s="125">
        <v>100</v>
      </c>
      <c r="E13" s="128">
        <v>13.4</v>
      </c>
      <c r="F13" s="128">
        <v>4.5</v>
      </c>
      <c r="G13" s="127">
        <v>1168</v>
      </c>
      <c r="H13" s="128">
        <v>15651</v>
      </c>
      <c r="I13" s="121"/>
      <c r="J13" s="128">
        <f>+G28*E28</f>
        <v>143276</v>
      </c>
      <c r="K13" s="128">
        <f t="shared" si="0"/>
        <v>158927</v>
      </c>
      <c r="L13" s="133"/>
      <c r="M13" s="128">
        <v>49690</v>
      </c>
    </row>
    <row r="14" spans="1:14">
      <c r="A14" s="121" t="s">
        <v>86</v>
      </c>
      <c r="B14" s="121"/>
      <c r="C14" s="121"/>
      <c r="D14" s="125">
        <v>100</v>
      </c>
      <c r="E14" s="128">
        <v>5</v>
      </c>
      <c r="F14" s="128">
        <v>3.2</v>
      </c>
      <c r="G14" s="127">
        <v>1300</v>
      </c>
      <c r="H14" s="128">
        <v>6500</v>
      </c>
      <c r="I14" s="121"/>
      <c r="J14" s="128">
        <f>+(E38*G38+E39*G39)</f>
        <v>19690</v>
      </c>
      <c r="K14" s="128">
        <f t="shared" si="0"/>
        <v>26190</v>
      </c>
      <c r="L14" s="121"/>
      <c r="M14" s="121"/>
    </row>
    <row r="15" spans="1:14">
      <c r="A15" s="121" t="s">
        <v>201</v>
      </c>
      <c r="B15" s="121"/>
      <c r="C15" s="121"/>
      <c r="D15" s="125">
        <v>57</v>
      </c>
      <c r="E15" s="128">
        <v>0.7</v>
      </c>
      <c r="F15" s="128">
        <v>0.7</v>
      </c>
      <c r="G15" s="127">
        <v>1276</v>
      </c>
      <c r="H15" s="128">
        <v>893</v>
      </c>
      <c r="I15" s="121"/>
      <c r="J15" s="128">
        <v>2472</v>
      </c>
      <c r="K15" s="128">
        <f t="shared" si="0"/>
        <v>3365</v>
      </c>
      <c r="L15" s="121"/>
      <c r="M15" s="121"/>
    </row>
    <row r="16" spans="1:14">
      <c r="A16" s="121" t="s">
        <v>37</v>
      </c>
      <c r="B16" s="121"/>
      <c r="C16" s="121"/>
      <c r="D16" s="125">
        <v>100</v>
      </c>
      <c r="E16" s="128">
        <v>11</v>
      </c>
      <c r="F16" s="128">
        <v>3.8</v>
      </c>
      <c r="G16" s="127">
        <v>1276</v>
      </c>
      <c r="H16" s="128">
        <v>14036</v>
      </c>
      <c r="I16" s="121"/>
      <c r="J16" s="128"/>
      <c r="K16" s="128">
        <f t="shared" si="0"/>
        <v>14036</v>
      </c>
      <c r="L16" s="121"/>
      <c r="M16" s="121"/>
    </row>
    <row r="17" spans="1:13">
      <c r="A17" s="121" t="s">
        <v>134</v>
      </c>
      <c r="B17" s="121"/>
      <c r="C17" s="121"/>
      <c r="D17" s="125">
        <v>100</v>
      </c>
      <c r="E17" s="128">
        <v>11.6</v>
      </c>
      <c r="F17" s="128">
        <v>10.199999999999999</v>
      </c>
      <c r="G17" s="127">
        <v>1355</v>
      </c>
      <c r="H17" s="128">
        <v>15718</v>
      </c>
      <c r="I17" s="121"/>
      <c r="J17" s="128">
        <v>17066</v>
      </c>
      <c r="K17" s="128">
        <f t="shared" si="0"/>
        <v>32784</v>
      </c>
      <c r="L17" s="121"/>
      <c r="M17" s="121"/>
    </row>
    <row r="18" spans="1:13">
      <c r="A18" s="121" t="s">
        <v>331</v>
      </c>
      <c r="B18" s="121"/>
      <c r="C18" s="121"/>
      <c r="D18" s="125">
        <v>100</v>
      </c>
      <c r="E18" s="128">
        <v>17</v>
      </c>
      <c r="F18" s="128">
        <v>14</v>
      </c>
      <c r="G18" s="127">
        <v>1276</v>
      </c>
      <c r="H18" s="128">
        <v>21692</v>
      </c>
      <c r="I18" s="128">
        <v>5353</v>
      </c>
      <c r="J18" s="128"/>
      <c r="K18" s="128">
        <f t="shared" si="0"/>
        <v>27045</v>
      </c>
      <c r="L18" s="121"/>
      <c r="M18" s="121"/>
    </row>
    <row r="19" spans="1:13">
      <c r="A19" s="121" t="s">
        <v>192</v>
      </c>
      <c r="B19" s="121"/>
      <c r="C19" s="121"/>
      <c r="D19" s="125">
        <v>100</v>
      </c>
      <c r="E19" s="128">
        <v>28.3</v>
      </c>
      <c r="F19" s="128">
        <v>8.34</v>
      </c>
      <c r="G19" s="127">
        <v>1404</v>
      </c>
      <c r="H19" s="128">
        <v>39733</v>
      </c>
      <c r="I19" s="121"/>
      <c r="J19" s="128"/>
      <c r="K19" s="128">
        <f t="shared" si="0"/>
        <v>39733</v>
      </c>
      <c r="L19" s="121"/>
      <c r="M19" s="121"/>
    </row>
    <row r="20" spans="1:13">
      <c r="A20" s="15" t="s">
        <v>333</v>
      </c>
      <c r="B20" s="15"/>
      <c r="C20" s="15"/>
      <c r="D20" s="137"/>
      <c r="E20" s="138">
        <f>SUM(E9:E19)</f>
        <v>108.3</v>
      </c>
      <c r="F20" s="138">
        <f>SUM(F9:F19)</f>
        <v>51.44</v>
      </c>
      <c r="G20" s="138"/>
      <c r="H20" s="138">
        <f>SUM(H9:H19)</f>
        <v>141367</v>
      </c>
      <c r="I20" s="138">
        <f t="shared" ref="I20:J20" si="1">SUM(I9:I19)</f>
        <v>16453</v>
      </c>
      <c r="J20" s="138">
        <f t="shared" si="1"/>
        <v>185634</v>
      </c>
      <c r="K20" s="138">
        <f>SUM(K9:K19)</f>
        <v>343454</v>
      </c>
      <c r="L20" s="138">
        <f>SUM(L9:L19)</f>
        <v>4042</v>
      </c>
      <c r="M20" s="138">
        <f>SUM(M9:M19)</f>
        <v>49690</v>
      </c>
    </row>
    <row r="21" spans="1:13">
      <c r="A21" s="18" t="s">
        <v>334</v>
      </c>
      <c r="B21" s="18"/>
      <c r="C21" s="18"/>
      <c r="D21" s="140"/>
      <c r="E21" s="141">
        <f>SUM(E20-F20)</f>
        <v>56.86</v>
      </c>
      <c r="F21" s="141"/>
      <c r="G21" s="141"/>
      <c r="H21" s="141">
        <f>+G32*E32</f>
        <v>74613</v>
      </c>
      <c r="I21" s="141">
        <f>+I20-L20</f>
        <v>12411</v>
      </c>
      <c r="J21" s="141">
        <f>+J20-M20</f>
        <v>135944</v>
      </c>
      <c r="K21" s="141">
        <f>SUM(H21:J21)</f>
        <v>222968</v>
      </c>
      <c r="L21" s="139"/>
      <c r="M21" s="139"/>
    </row>
    <row r="22" spans="1:13">
      <c r="A22" s="121"/>
      <c r="B22" s="121"/>
      <c r="C22" s="121"/>
      <c r="D22" s="121"/>
      <c r="E22" s="121"/>
      <c r="F22" s="121"/>
      <c r="G22" s="121"/>
      <c r="H22" s="121"/>
      <c r="I22" s="121"/>
      <c r="J22" s="121"/>
      <c r="K22" s="128"/>
      <c r="L22" s="121"/>
      <c r="M22" s="121"/>
    </row>
    <row r="23" spans="1:13">
      <c r="A23" s="121"/>
      <c r="B23" s="121"/>
      <c r="C23" s="134" t="s">
        <v>45</v>
      </c>
      <c r="D23" s="121"/>
      <c r="E23" s="121"/>
      <c r="F23" s="121"/>
      <c r="G23" s="121"/>
      <c r="H23" s="121"/>
      <c r="I23" s="128"/>
      <c r="J23" s="128"/>
      <c r="K23" s="128"/>
      <c r="L23" s="121"/>
      <c r="M23" s="121"/>
    </row>
    <row r="24" spans="1:13">
      <c r="A24" s="121"/>
      <c r="B24" s="121"/>
      <c r="C24" s="121"/>
      <c r="D24" s="121"/>
      <c r="E24" s="121"/>
      <c r="F24" s="121"/>
      <c r="G24" s="121"/>
      <c r="H24" s="121"/>
      <c r="I24" s="121"/>
      <c r="J24" s="121"/>
      <c r="K24" s="128"/>
      <c r="L24" s="121"/>
      <c r="M24" s="121"/>
    </row>
    <row r="25" spans="1:13">
      <c r="A25" s="134" t="s">
        <v>46</v>
      </c>
      <c r="B25" s="134"/>
      <c r="C25" s="134"/>
      <c r="D25" s="134"/>
      <c r="E25" s="134"/>
      <c r="F25" s="134"/>
      <c r="G25" s="134"/>
      <c r="H25" s="134"/>
      <c r="I25" s="133"/>
      <c r="J25" s="121"/>
      <c r="K25" s="121"/>
      <c r="L25" s="121"/>
      <c r="M25" s="121"/>
    </row>
    <row r="26" spans="1:13">
      <c r="A26" s="301" t="s">
        <v>47</v>
      </c>
      <c r="B26" s="301"/>
      <c r="C26" s="301"/>
      <c r="D26" s="301" t="s">
        <v>48</v>
      </c>
      <c r="E26" s="301" t="s">
        <v>49</v>
      </c>
      <c r="F26" s="301"/>
      <c r="G26" s="301" t="s">
        <v>89</v>
      </c>
      <c r="H26" s="134"/>
      <c r="I26" s="121"/>
      <c r="J26" s="121"/>
      <c r="K26" s="177"/>
      <c r="L26" s="121"/>
      <c r="M26" s="121"/>
    </row>
    <row r="27" spans="1:13">
      <c r="A27" s="121" t="s">
        <v>53</v>
      </c>
      <c r="B27" s="121"/>
      <c r="C27" s="121"/>
      <c r="D27" s="121"/>
      <c r="E27" s="121"/>
      <c r="F27" s="121"/>
      <c r="G27" s="121"/>
      <c r="H27" s="121"/>
      <c r="I27" s="121"/>
      <c r="J27" s="121"/>
      <c r="K27" s="177"/>
      <c r="L27" s="121"/>
      <c r="M27" s="121"/>
    </row>
    <row r="28" spans="1:13">
      <c r="A28" s="121" t="s">
        <v>55</v>
      </c>
      <c r="B28" s="121"/>
      <c r="C28" s="121"/>
      <c r="D28" s="302" t="s">
        <v>66</v>
      </c>
      <c r="E28" s="128">
        <v>731</v>
      </c>
      <c r="F28" s="128"/>
      <c r="G28" s="128">
        <v>196</v>
      </c>
      <c r="H28" s="121"/>
      <c r="I28" s="121"/>
      <c r="J28" s="121" t="s">
        <v>193</v>
      </c>
      <c r="K28" s="177">
        <v>0.93</v>
      </c>
      <c r="L28" s="121"/>
      <c r="M28" s="121"/>
    </row>
    <row r="29" spans="1:13">
      <c r="A29" s="121"/>
      <c r="B29" s="121"/>
      <c r="C29" s="121"/>
      <c r="D29" s="143"/>
      <c r="E29" s="121"/>
      <c r="F29" s="121"/>
      <c r="G29" s="121"/>
      <c r="H29" s="121"/>
      <c r="I29" s="121"/>
      <c r="J29" s="121" t="s">
        <v>113</v>
      </c>
      <c r="K29" s="177">
        <v>7.0000000000000007E-2</v>
      </c>
      <c r="L29" s="121"/>
      <c r="M29" s="121"/>
    </row>
    <row r="30" spans="1:13">
      <c r="A30" s="121"/>
      <c r="B30" s="121"/>
      <c r="C30" s="121"/>
      <c r="D30" s="143"/>
      <c r="E30" s="121"/>
      <c r="F30" s="121"/>
      <c r="G30" s="121"/>
      <c r="H30" s="121"/>
      <c r="I30" s="121"/>
      <c r="J30" s="121"/>
      <c r="K30" s="121"/>
      <c r="L30" s="121"/>
      <c r="M30" s="121"/>
    </row>
    <row r="31" spans="1:13">
      <c r="A31" s="121" t="s">
        <v>57</v>
      </c>
      <c r="B31" s="121"/>
      <c r="C31" s="121"/>
      <c r="D31" s="143"/>
      <c r="E31" s="121"/>
      <c r="F31" s="121"/>
      <c r="G31" s="121"/>
      <c r="H31" s="121"/>
      <c r="I31" s="121"/>
      <c r="J31" s="121" t="s">
        <v>60</v>
      </c>
      <c r="K31" s="121">
        <v>0.53</v>
      </c>
      <c r="L31" s="121"/>
      <c r="M31" s="121"/>
    </row>
    <row r="32" spans="1:13">
      <c r="A32" s="121" t="s">
        <v>336</v>
      </c>
      <c r="B32" s="121"/>
      <c r="C32" s="121"/>
      <c r="D32" s="143" t="s">
        <v>59</v>
      </c>
      <c r="E32" s="133">
        <v>57</v>
      </c>
      <c r="F32" s="121"/>
      <c r="G32" s="128">
        <v>1309</v>
      </c>
      <c r="H32" s="121"/>
      <c r="I32" s="121"/>
      <c r="J32" s="121" t="s">
        <v>62</v>
      </c>
      <c r="K32" s="121">
        <v>0.5</v>
      </c>
      <c r="L32" s="121"/>
      <c r="M32" s="121"/>
    </row>
    <row r="33" spans="1:13">
      <c r="A33" s="121" t="s">
        <v>337</v>
      </c>
      <c r="B33" s="121"/>
      <c r="C33" s="121"/>
      <c r="D33" s="143" t="s">
        <v>59</v>
      </c>
      <c r="E33" s="133">
        <v>51</v>
      </c>
      <c r="F33" s="121"/>
      <c r="G33" s="121"/>
      <c r="H33" s="121"/>
      <c r="I33" s="121"/>
      <c r="J33" s="121"/>
      <c r="K33" s="121"/>
      <c r="L33" s="121"/>
      <c r="M33" s="121"/>
    </row>
    <row r="34" spans="1:13">
      <c r="A34" s="121" t="s">
        <v>6</v>
      </c>
      <c r="B34" s="121"/>
      <c r="C34" s="121"/>
      <c r="D34" s="143"/>
      <c r="E34" s="133">
        <f>SUM(E32:E33)</f>
        <v>108</v>
      </c>
      <c r="F34" s="121"/>
      <c r="G34" s="121"/>
      <c r="H34" s="121"/>
      <c r="I34" s="121"/>
      <c r="J34" s="121"/>
      <c r="K34" s="135"/>
      <c r="L34" s="121"/>
      <c r="M34" s="121"/>
    </row>
    <row r="35" spans="1:13">
      <c r="A35" s="121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</row>
    <row r="36" spans="1:13">
      <c r="A36" s="136" t="s">
        <v>63</v>
      </c>
      <c r="B36" s="136"/>
      <c r="C36" s="245" t="s">
        <v>375</v>
      </c>
      <c r="D36" s="15"/>
      <c r="E36" s="136"/>
      <c r="F36" s="136"/>
      <c r="G36" s="136"/>
      <c r="H36" s="121"/>
      <c r="I36" s="121"/>
      <c r="J36" s="121"/>
      <c r="K36" s="121"/>
      <c r="L36" s="121"/>
      <c r="M36" s="121"/>
    </row>
    <row r="37" spans="1:13">
      <c r="A37" s="144"/>
      <c r="B37" s="123"/>
      <c r="C37" s="246" t="s">
        <v>339</v>
      </c>
      <c r="D37" s="53"/>
      <c r="E37" s="144"/>
      <c r="F37" s="144"/>
      <c r="G37" s="150"/>
      <c r="H37" s="121"/>
      <c r="I37" s="121"/>
      <c r="J37" s="121"/>
      <c r="K37" s="121"/>
      <c r="L37" s="121"/>
      <c r="M37" s="121"/>
    </row>
    <row r="38" spans="1:13">
      <c r="A38" s="144" t="s">
        <v>186</v>
      </c>
      <c r="B38" s="123"/>
      <c r="C38" s="146">
        <v>50</v>
      </c>
      <c r="D38" s="147" t="s">
        <v>66</v>
      </c>
      <c r="E38" s="150">
        <v>718</v>
      </c>
      <c r="F38" s="150"/>
      <c r="G38" s="150">
        <v>5</v>
      </c>
      <c r="H38" s="121"/>
      <c r="I38" s="121"/>
      <c r="J38" s="121"/>
      <c r="K38" s="121"/>
      <c r="L38" s="121"/>
      <c r="M38" s="121"/>
    </row>
    <row r="39" spans="1:13">
      <c r="A39" s="144" t="s">
        <v>414</v>
      </c>
      <c r="B39" s="123"/>
      <c r="C39" s="146">
        <v>93</v>
      </c>
      <c r="D39" s="147" t="s">
        <v>66</v>
      </c>
      <c r="E39" s="150">
        <v>644</v>
      </c>
      <c r="F39" s="150"/>
      <c r="G39" s="150">
        <v>25</v>
      </c>
      <c r="H39" s="121"/>
      <c r="I39" s="121"/>
      <c r="J39" s="121"/>
      <c r="K39" s="121"/>
      <c r="L39" s="121"/>
      <c r="M39" s="121"/>
    </row>
    <row r="40" spans="1:13">
      <c r="A40" s="144"/>
      <c r="B40" s="123"/>
      <c r="C40" s="148"/>
      <c r="D40" s="144"/>
      <c r="E40" s="144"/>
      <c r="F40" s="144"/>
      <c r="G40" s="144"/>
      <c r="H40" s="121"/>
      <c r="I40" s="121"/>
      <c r="J40" s="121"/>
      <c r="K40" s="121"/>
      <c r="L40" s="121"/>
      <c r="M40" s="121"/>
    </row>
    <row r="41" spans="1:13">
      <c r="A41" s="262" t="s">
        <v>70</v>
      </c>
      <c r="B41" s="15"/>
      <c r="C41" s="15"/>
      <c r="D41" s="15"/>
      <c r="E41" s="136"/>
      <c r="F41" s="136"/>
      <c r="G41" s="136"/>
      <c r="H41" s="121"/>
      <c r="I41" s="121"/>
      <c r="J41" s="121" t="s">
        <v>71</v>
      </c>
      <c r="K41" s="121"/>
      <c r="L41" s="121"/>
      <c r="M41" s="121"/>
    </row>
    <row r="42" spans="1:13">
      <c r="A42" s="27" t="s">
        <v>342</v>
      </c>
      <c r="B42" s="27"/>
      <c r="C42" s="27"/>
      <c r="D42" s="27"/>
      <c r="E42" s="144"/>
      <c r="F42" s="144"/>
      <c r="G42" s="151">
        <v>6262</v>
      </c>
      <c r="H42" s="121"/>
      <c r="I42" s="121"/>
      <c r="J42" s="126">
        <v>15473</v>
      </c>
      <c r="K42" s="121"/>
      <c r="L42" s="121"/>
      <c r="M42" s="121"/>
    </row>
    <row r="43" spans="1:13">
      <c r="A43" s="27" t="s">
        <v>343</v>
      </c>
      <c r="B43" s="27"/>
      <c r="C43" s="27"/>
      <c r="D43" s="27"/>
      <c r="E43" s="144"/>
      <c r="F43" s="144"/>
      <c r="G43" s="152">
        <v>101</v>
      </c>
      <c r="H43" s="121"/>
      <c r="I43" s="121"/>
      <c r="J43" s="126"/>
      <c r="K43" s="121"/>
      <c r="L43" s="121"/>
      <c r="M43" s="121"/>
    </row>
    <row r="44" spans="1:13">
      <c r="A44" s="27" t="s">
        <v>380</v>
      </c>
      <c r="B44" s="27"/>
      <c r="C44" s="27"/>
      <c r="D44" s="27"/>
      <c r="E44" s="144"/>
      <c r="F44" s="144"/>
      <c r="G44" s="152">
        <f>+G42*G43</f>
        <v>632462</v>
      </c>
      <c r="H44" s="121"/>
      <c r="I44" s="121"/>
      <c r="J44" s="126">
        <v>1562814</v>
      </c>
      <c r="K44" s="121"/>
      <c r="L44" s="121"/>
      <c r="M44" s="121"/>
    </row>
    <row r="45" spans="1:13">
      <c r="A45" s="27" t="s">
        <v>361</v>
      </c>
      <c r="B45" s="27"/>
      <c r="C45" s="27"/>
      <c r="D45" s="27"/>
      <c r="E45" s="144"/>
      <c r="F45" s="144"/>
      <c r="G45" s="178">
        <f>+G44-K20</f>
        <v>289008</v>
      </c>
      <c r="H45" s="121"/>
      <c r="I45" s="121"/>
      <c r="J45" s="126">
        <v>714139</v>
      </c>
      <c r="K45" s="121"/>
      <c r="L45" s="121"/>
      <c r="M45" s="121"/>
    </row>
    <row r="46" spans="1:13">
      <c r="A46" s="27" t="s">
        <v>362</v>
      </c>
      <c r="B46" s="27"/>
      <c r="C46" s="27"/>
      <c r="D46" s="27"/>
      <c r="E46" s="144"/>
      <c r="F46" s="144"/>
      <c r="G46" s="178">
        <f>+G44-K21</f>
        <v>409494</v>
      </c>
      <c r="H46" s="121"/>
      <c r="I46" s="121"/>
      <c r="J46" s="126">
        <v>1011860</v>
      </c>
      <c r="K46" s="121"/>
      <c r="L46" s="121"/>
      <c r="M46" s="121"/>
    </row>
    <row r="47" spans="1:13">
      <c r="A47" s="27"/>
      <c r="B47" s="27"/>
      <c r="C47" s="27"/>
      <c r="D47" s="27"/>
      <c r="E47" s="144"/>
      <c r="F47" s="144"/>
      <c r="G47" s="152"/>
      <c r="H47" s="121"/>
      <c r="I47" s="121"/>
      <c r="J47" s="121"/>
      <c r="K47" s="121"/>
      <c r="L47" s="121"/>
      <c r="M47" s="121"/>
    </row>
    <row r="48" spans="1:13">
      <c r="A48" s="27" t="s">
        <v>415</v>
      </c>
      <c r="B48" s="27"/>
      <c r="C48" s="27"/>
      <c r="D48" s="27"/>
      <c r="E48" s="144"/>
      <c r="F48" s="144"/>
      <c r="G48" s="152">
        <f>+K20/G42</f>
        <v>54.847333120408813</v>
      </c>
      <c r="H48" s="121"/>
      <c r="I48" s="121"/>
      <c r="J48" s="121"/>
      <c r="K48" s="121"/>
      <c r="L48" s="121"/>
      <c r="M48" s="121"/>
    </row>
    <row r="49" spans="1:13">
      <c r="A49" s="18" t="s">
        <v>400</v>
      </c>
      <c r="B49" s="18"/>
      <c r="C49" s="18"/>
      <c r="D49" s="18"/>
      <c r="E49" s="139"/>
      <c r="F49" s="139"/>
      <c r="G49" s="154">
        <f>+K21/G42</f>
        <v>35.606515490258701</v>
      </c>
      <c r="H49" s="121"/>
      <c r="I49" s="121"/>
      <c r="J49" s="121"/>
      <c r="K49" s="121"/>
      <c r="L49" s="121"/>
      <c r="M49" s="121"/>
    </row>
    <row r="50" spans="1:13">
      <c r="A50" s="121"/>
      <c r="B50" s="121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</row>
    <row r="51" spans="1:13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</row>
    <row r="52" spans="1:13">
      <c r="A52" s="170"/>
      <c r="B52" s="170"/>
      <c r="C52" s="170"/>
      <c r="D52" s="170"/>
      <c r="E52" s="170"/>
      <c r="F52" s="170"/>
      <c r="G52" s="170"/>
      <c r="H52" s="170"/>
      <c r="I52" s="170"/>
      <c r="J52" s="170"/>
      <c r="K52" s="170"/>
      <c r="L52" s="170"/>
      <c r="M52" s="170"/>
    </row>
    <row r="53" spans="1:13">
      <c r="A53" s="170"/>
      <c r="B53" s="170"/>
      <c r="C53" s="170"/>
      <c r="D53" s="170"/>
      <c r="E53" s="170"/>
      <c r="F53" s="170"/>
      <c r="G53" s="170"/>
      <c r="H53" s="170"/>
      <c r="I53" s="170"/>
      <c r="J53" s="170"/>
      <c r="K53" s="170"/>
      <c r="L53" s="170"/>
      <c r="M53" s="170"/>
    </row>
    <row r="54" spans="1:13">
      <c r="A54" s="170"/>
      <c r="B54" s="170"/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0"/>
    </row>
    <row r="55" spans="1:13">
      <c r="A55" s="170"/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</row>
    <row r="56" spans="1:13">
      <c r="A56" s="170"/>
      <c r="B56" s="170"/>
      <c r="C56" s="170"/>
      <c r="D56" s="170"/>
      <c r="E56" s="170"/>
      <c r="F56" s="170"/>
      <c r="G56" s="170"/>
      <c r="H56" s="170"/>
      <c r="I56" s="170"/>
      <c r="J56" s="170"/>
      <c r="K56" s="170"/>
      <c r="L56" s="170"/>
      <c r="M56" s="170"/>
    </row>
    <row r="57" spans="1:13">
      <c r="A57" s="170"/>
      <c r="B57" s="170"/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</row>
    <row r="58" spans="1:13">
      <c r="A58" s="170"/>
      <c r="B58" s="170"/>
      <c r="C58" s="170"/>
      <c r="D58" s="170"/>
      <c r="E58" s="170"/>
      <c r="F58" s="170"/>
      <c r="G58" s="170"/>
      <c r="H58" s="170"/>
      <c r="I58" s="170"/>
      <c r="J58" s="170"/>
      <c r="K58" s="170"/>
      <c r="L58" s="170"/>
      <c r="M58" s="170"/>
    </row>
    <row r="59" spans="1:13">
      <c r="A59" s="170"/>
      <c r="B59" s="170"/>
      <c r="C59" s="170"/>
      <c r="D59" s="170"/>
      <c r="E59" s="170"/>
      <c r="F59" s="170"/>
      <c r="G59" s="170"/>
      <c r="H59" s="170"/>
      <c r="I59" s="170"/>
      <c r="J59" s="170"/>
      <c r="K59" s="170"/>
      <c r="L59" s="170"/>
      <c r="M59" s="170"/>
    </row>
    <row r="60" spans="1:13">
      <c r="A60" s="170"/>
      <c r="B60" s="170"/>
      <c r="C60" s="170"/>
      <c r="D60" s="170"/>
      <c r="E60" s="170"/>
      <c r="F60" s="170"/>
      <c r="G60" s="170"/>
      <c r="H60" s="170"/>
      <c r="I60" s="170"/>
      <c r="J60" s="170"/>
      <c r="K60" s="170"/>
      <c r="L60" s="170"/>
      <c r="M60" s="170"/>
    </row>
    <row r="61" spans="1:13">
      <c r="A61" s="170"/>
      <c r="B61" s="170"/>
      <c r="C61" s="170"/>
      <c r="D61" s="170"/>
      <c r="E61" s="170"/>
      <c r="F61" s="170"/>
      <c r="G61" s="170"/>
      <c r="H61" s="170"/>
      <c r="I61" s="170"/>
      <c r="J61" s="170"/>
      <c r="K61" s="170"/>
      <c r="L61" s="170"/>
      <c r="M61" s="170"/>
    </row>
    <row r="62" spans="1:13">
      <c r="A62" s="170"/>
      <c r="B62" s="170"/>
      <c r="C62" s="170"/>
      <c r="D62" s="170"/>
      <c r="E62" s="170"/>
      <c r="F62" s="170"/>
      <c r="G62" s="170"/>
      <c r="H62" s="170"/>
      <c r="I62" s="170"/>
      <c r="J62" s="170"/>
      <c r="K62" s="170"/>
      <c r="L62" s="170"/>
      <c r="M62" s="170"/>
    </row>
    <row r="63" spans="1:13">
      <c r="A63" s="170"/>
      <c r="B63" s="170"/>
      <c r="C63" s="170"/>
      <c r="D63" s="170"/>
      <c r="E63" s="170"/>
      <c r="F63" s="170"/>
      <c r="G63" s="170"/>
      <c r="H63" s="170"/>
      <c r="I63" s="170"/>
      <c r="J63" s="170"/>
      <c r="K63" s="170"/>
      <c r="L63" s="170"/>
      <c r="M63" s="170"/>
    </row>
    <row r="64" spans="1:13">
      <c r="A64" s="170"/>
      <c r="B64" s="170"/>
      <c r="C64" s="170"/>
      <c r="D64" s="170"/>
      <c r="E64" s="170"/>
      <c r="F64" s="170"/>
      <c r="G64" s="170"/>
      <c r="H64" s="170"/>
      <c r="I64" s="170"/>
      <c r="J64" s="170"/>
      <c r="K64" s="170"/>
      <c r="L64" s="170"/>
      <c r="M64" s="170"/>
    </row>
    <row r="65" spans="1:13">
      <c r="A65" s="170"/>
      <c r="B65" s="170"/>
      <c r="C65" s="170"/>
      <c r="D65" s="170"/>
      <c r="E65" s="170"/>
      <c r="F65" s="170"/>
      <c r="G65" s="170"/>
      <c r="H65" s="170"/>
      <c r="I65" s="170"/>
      <c r="J65" s="170"/>
      <c r="K65" s="170"/>
      <c r="L65" s="170"/>
      <c r="M65" s="170"/>
    </row>
    <row r="66" spans="1:13">
      <c r="A66" s="170"/>
      <c r="B66" s="170"/>
      <c r="C66" s="170"/>
      <c r="D66" s="170"/>
      <c r="E66" s="170"/>
      <c r="F66" s="170"/>
      <c r="G66" s="170"/>
      <c r="H66" s="170"/>
      <c r="I66" s="170"/>
      <c r="J66" s="170"/>
      <c r="K66" s="170"/>
      <c r="L66" s="170"/>
      <c r="M66" s="170"/>
    </row>
    <row r="67" spans="1:13">
      <c r="A67" s="170"/>
      <c r="B67" s="170"/>
      <c r="C67" s="170"/>
      <c r="D67" s="170"/>
      <c r="E67" s="170"/>
      <c r="F67" s="170"/>
      <c r="G67" s="170"/>
      <c r="H67" s="170"/>
      <c r="I67" s="170"/>
      <c r="J67" s="170"/>
      <c r="K67" s="170"/>
      <c r="L67" s="170"/>
      <c r="M67" s="170"/>
    </row>
    <row r="68" spans="1:13">
      <c r="A68" s="170"/>
      <c r="B68" s="170"/>
      <c r="C68" s="170"/>
      <c r="D68" s="170"/>
      <c r="E68" s="170"/>
      <c r="F68" s="170"/>
      <c r="G68" s="170"/>
      <c r="H68" s="170"/>
      <c r="I68" s="170"/>
      <c r="J68" s="170"/>
      <c r="K68" s="170"/>
      <c r="L68" s="170"/>
      <c r="M68" s="170"/>
    </row>
    <row r="69" spans="1:13">
      <c r="A69" s="170"/>
      <c r="B69" s="170"/>
      <c r="C69" s="170"/>
      <c r="D69" s="170"/>
      <c r="E69" s="170"/>
      <c r="F69" s="170"/>
      <c r="G69" s="170"/>
      <c r="H69" s="170"/>
      <c r="I69" s="170"/>
      <c r="J69" s="170"/>
      <c r="K69" s="170"/>
      <c r="L69" s="170"/>
      <c r="M69" s="170"/>
    </row>
    <row r="70" spans="1:13">
      <c r="A70" s="170"/>
      <c r="B70" s="170"/>
      <c r="C70" s="170"/>
      <c r="D70" s="170"/>
      <c r="E70" s="170"/>
      <c r="F70" s="170"/>
      <c r="G70" s="170"/>
      <c r="H70" s="170"/>
      <c r="I70" s="170"/>
      <c r="J70" s="170"/>
      <c r="K70" s="170"/>
      <c r="L70" s="170"/>
      <c r="M70" s="170"/>
    </row>
    <row r="71" spans="1:13">
      <c r="A71" s="170"/>
      <c r="B71" s="170"/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</row>
    <row r="72" spans="1:13">
      <c r="A72" s="170"/>
      <c r="B72" s="170"/>
      <c r="C72" s="170"/>
      <c r="D72" s="170"/>
      <c r="E72" s="170"/>
      <c r="F72" s="170"/>
      <c r="G72" s="170"/>
      <c r="H72" s="170"/>
      <c r="I72" s="170"/>
      <c r="J72" s="170"/>
      <c r="K72" s="170"/>
      <c r="L72" s="170"/>
      <c r="M72" s="170"/>
    </row>
    <row r="73" spans="1:13">
      <c r="A73" s="170"/>
      <c r="B73" s="170"/>
      <c r="C73" s="170"/>
      <c r="D73" s="170"/>
      <c r="E73" s="170"/>
      <c r="F73" s="170"/>
      <c r="G73" s="170"/>
      <c r="H73" s="170"/>
      <c r="I73" s="170"/>
      <c r="J73" s="170"/>
      <c r="K73" s="170"/>
      <c r="L73" s="170"/>
      <c r="M73" s="170"/>
    </row>
    <row r="74" spans="1:13">
      <c r="A74" s="170"/>
      <c r="B74" s="170"/>
      <c r="C74" s="170"/>
      <c r="D74" s="170"/>
      <c r="E74" s="170"/>
      <c r="F74" s="170"/>
      <c r="G74" s="170"/>
      <c r="H74" s="170"/>
      <c r="I74" s="170"/>
      <c r="J74" s="170"/>
      <c r="K74" s="170"/>
      <c r="L74" s="170"/>
      <c r="M74" s="170"/>
    </row>
    <row r="75" spans="1:13">
      <c r="A75" s="170"/>
      <c r="B75" s="170"/>
      <c r="C75" s="170"/>
      <c r="D75" s="170"/>
      <c r="E75" s="170"/>
      <c r="F75" s="170"/>
      <c r="G75" s="170"/>
      <c r="H75" s="170"/>
      <c r="I75" s="170"/>
      <c r="J75" s="170"/>
      <c r="K75" s="170"/>
      <c r="L75" s="170"/>
      <c r="M75" s="170"/>
    </row>
    <row r="76" spans="1:13">
      <c r="A76" s="170"/>
      <c r="B76" s="170"/>
      <c r="C76" s="170"/>
      <c r="D76" s="170"/>
      <c r="E76" s="170"/>
      <c r="F76" s="170"/>
      <c r="G76" s="170"/>
      <c r="H76" s="170"/>
      <c r="I76" s="170"/>
      <c r="J76" s="170"/>
      <c r="K76" s="170"/>
      <c r="L76" s="170"/>
      <c r="M76" s="170"/>
    </row>
    <row r="77" spans="1:13">
      <c r="A77" s="170"/>
      <c r="B77" s="170"/>
      <c r="C77" s="170"/>
      <c r="D77" s="170"/>
      <c r="E77" s="170"/>
      <c r="F77" s="170"/>
      <c r="G77" s="170"/>
      <c r="H77" s="170"/>
      <c r="I77" s="170"/>
      <c r="J77" s="170"/>
      <c r="K77" s="170"/>
      <c r="L77" s="170"/>
      <c r="M77" s="170"/>
    </row>
    <row r="78" spans="1:13">
      <c r="A78" s="170"/>
      <c r="B78" s="170"/>
      <c r="C78" s="170"/>
      <c r="D78" s="170"/>
      <c r="E78" s="170"/>
      <c r="F78" s="170"/>
      <c r="G78" s="170"/>
      <c r="H78" s="170"/>
      <c r="I78" s="170"/>
      <c r="J78" s="170"/>
      <c r="K78" s="170"/>
      <c r="L78" s="170"/>
      <c r="M78" s="170"/>
    </row>
    <row r="79" spans="1:13">
      <c r="A79" s="170"/>
      <c r="B79" s="170"/>
      <c r="C79" s="170"/>
      <c r="D79" s="170"/>
      <c r="E79" s="170"/>
      <c r="F79" s="170"/>
      <c r="G79" s="170"/>
      <c r="H79" s="170"/>
      <c r="I79" s="170"/>
      <c r="J79" s="170"/>
      <c r="K79" s="170"/>
      <c r="L79" s="170"/>
      <c r="M79" s="170"/>
    </row>
    <row r="80" spans="1:13">
      <c r="A80" s="170"/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</row>
    <row r="81" spans="1:13">
      <c r="A81" s="170"/>
      <c r="B81" s="170"/>
      <c r="C81" s="170"/>
      <c r="D81" s="170"/>
      <c r="E81" s="170"/>
      <c r="F81" s="170"/>
      <c r="G81" s="170"/>
      <c r="H81" s="170"/>
      <c r="I81" s="170"/>
      <c r="J81" s="170"/>
      <c r="K81" s="170"/>
      <c r="L81" s="170"/>
      <c r="M81" s="170"/>
    </row>
    <row r="82" spans="1:13">
      <c r="A82" s="170"/>
      <c r="B82" s="170"/>
      <c r="C82" s="170"/>
      <c r="D82" s="170"/>
      <c r="E82" s="170"/>
      <c r="F82" s="170"/>
      <c r="G82" s="170"/>
      <c r="H82" s="170"/>
      <c r="I82" s="170"/>
      <c r="J82" s="170"/>
      <c r="K82" s="170"/>
      <c r="L82" s="170"/>
      <c r="M82" s="170"/>
    </row>
    <row r="83" spans="1:13">
      <c r="A83" s="170"/>
      <c r="B83" s="170"/>
      <c r="C83" s="170"/>
      <c r="D83" s="170"/>
      <c r="E83" s="170"/>
      <c r="F83" s="170"/>
      <c r="G83" s="170"/>
      <c r="H83" s="170"/>
      <c r="I83" s="170"/>
      <c r="J83" s="170"/>
      <c r="K83" s="170"/>
      <c r="L83" s="170"/>
      <c r="M83" s="170"/>
    </row>
    <row r="84" spans="1:13">
      <c r="A84" s="170"/>
      <c r="B84" s="170"/>
      <c r="C84" s="170"/>
      <c r="D84" s="170"/>
      <c r="E84" s="170"/>
      <c r="F84" s="170"/>
      <c r="G84" s="170"/>
      <c r="H84" s="170"/>
      <c r="I84" s="170"/>
      <c r="J84" s="170"/>
      <c r="K84" s="170"/>
      <c r="L84" s="170"/>
      <c r="M84" s="170"/>
    </row>
    <row r="85" spans="1:13">
      <c r="A85" s="170"/>
      <c r="B85" s="170"/>
      <c r="C85" s="170"/>
      <c r="D85" s="170"/>
      <c r="E85" s="170"/>
      <c r="F85" s="170"/>
      <c r="G85" s="170"/>
      <c r="H85" s="170"/>
      <c r="I85" s="170"/>
      <c r="J85" s="170"/>
      <c r="K85" s="170"/>
      <c r="L85" s="170"/>
      <c r="M85" s="170"/>
    </row>
    <row r="86" spans="1:13">
      <c r="A86" s="170"/>
      <c r="B86" s="170"/>
      <c r="C86" s="170"/>
      <c r="D86" s="170"/>
      <c r="E86" s="170"/>
      <c r="F86" s="170"/>
      <c r="G86" s="170"/>
      <c r="H86" s="170"/>
      <c r="I86" s="170"/>
      <c r="J86" s="170"/>
      <c r="K86" s="170"/>
      <c r="L86" s="170"/>
      <c r="M86" s="170"/>
    </row>
    <row r="87" spans="1:13">
      <c r="A87" s="170"/>
      <c r="B87" s="170"/>
      <c r="C87" s="170"/>
      <c r="D87" s="170"/>
      <c r="E87" s="170"/>
      <c r="F87" s="170"/>
      <c r="G87" s="170"/>
      <c r="H87" s="170"/>
      <c r="I87" s="170"/>
      <c r="J87" s="170"/>
      <c r="K87" s="170"/>
      <c r="L87" s="170"/>
      <c r="M87" s="170"/>
    </row>
    <row r="88" spans="1:13">
      <c r="A88" s="170"/>
      <c r="B88" s="170"/>
      <c r="C88" s="170"/>
      <c r="D88" s="170"/>
      <c r="E88" s="170"/>
      <c r="F88" s="170"/>
      <c r="G88" s="170"/>
      <c r="H88" s="170"/>
      <c r="I88" s="170"/>
      <c r="J88" s="170"/>
      <c r="K88" s="170"/>
      <c r="L88" s="170"/>
      <c r="M88" s="170"/>
    </row>
    <row r="89" spans="1:13">
      <c r="A89" s="170"/>
      <c r="B89" s="170"/>
      <c r="C89" s="170"/>
      <c r="D89" s="170"/>
      <c r="E89" s="170"/>
      <c r="F89" s="170"/>
      <c r="G89" s="170"/>
      <c r="H89" s="170"/>
      <c r="I89" s="170"/>
      <c r="J89" s="170"/>
      <c r="K89" s="170"/>
      <c r="L89" s="170"/>
      <c r="M89" s="170"/>
    </row>
    <row r="90" spans="1:13">
      <c r="A90" s="170"/>
      <c r="B90" s="170"/>
      <c r="C90" s="170"/>
      <c r="D90" s="170"/>
      <c r="E90" s="170"/>
      <c r="F90" s="170"/>
      <c r="G90" s="170"/>
      <c r="H90" s="170"/>
      <c r="I90" s="170"/>
      <c r="J90" s="170"/>
      <c r="K90" s="170"/>
      <c r="L90" s="170"/>
      <c r="M90" s="170"/>
    </row>
    <row r="91" spans="1:13">
      <c r="A91" s="170"/>
      <c r="B91" s="170"/>
      <c r="C91" s="170"/>
      <c r="D91" s="170"/>
      <c r="E91" s="170"/>
      <c r="F91" s="170"/>
      <c r="G91" s="170"/>
      <c r="H91" s="170"/>
      <c r="I91" s="170"/>
      <c r="J91" s="170"/>
      <c r="K91" s="170"/>
      <c r="L91" s="170"/>
      <c r="M91" s="170"/>
    </row>
    <row r="92" spans="1:13">
      <c r="A92" s="170"/>
      <c r="B92" s="170"/>
      <c r="C92" s="170"/>
      <c r="D92" s="170"/>
      <c r="E92" s="170"/>
      <c r="F92" s="170"/>
      <c r="G92" s="170"/>
      <c r="H92" s="170"/>
      <c r="I92" s="170"/>
      <c r="J92" s="170"/>
      <c r="K92" s="170"/>
      <c r="L92" s="170"/>
      <c r="M92" s="170"/>
    </row>
    <row r="93" spans="1:13">
      <c r="A93" s="170"/>
      <c r="B93" s="170"/>
      <c r="C93" s="170"/>
      <c r="D93" s="170"/>
      <c r="E93" s="170"/>
      <c r="F93" s="170"/>
      <c r="G93" s="170"/>
      <c r="H93" s="170"/>
      <c r="I93" s="170"/>
      <c r="J93" s="170"/>
      <c r="K93" s="170"/>
      <c r="L93" s="170"/>
      <c r="M93" s="170"/>
    </row>
    <row r="94" spans="1:13">
      <c r="A94" s="170"/>
      <c r="B94" s="170"/>
      <c r="C94" s="170"/>
      <c r="D94" s="170"/>
      <c r="E94" s="170"/>
      <c r="F94" s="170"/>
      <c r="G94" s="170"/>
      <c r="H94" s="170"/>
      <c r="I94" s="170"/>
      <c r="J94" s="170"/>
      <c r="K94" s="170"/>
      <c r="L94" s="170"/>
      <c r="M94" s="170"/>
    </row>
    <row r="95" spans="1:13">
      <c r="A95" s="170"/>
      <c r="B95" s="170"/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</row>
    <row r="96" spans="1:13">
      <c r="A96" s="170"/>
      <c r="B96" s="170"/>
      <c r="C96" s="170"/>
      <c r="D96" s="170"/>
      <c r="E96" s="170"/>
      <c r="F96" s="170"/>
      <c r="G96" s="170"/>
      <c r="H96" s="170"/>
      <c r="I96" s="170"/>
      <c r="J96" s="170"/>
      <c r="K96" s="170"/>
      <c r="L96" s="170"/>
      <c r="M96" s="170"/>
    </row>
    <row r="97" spans="1:13">
      <c r="A97" s="170"/>
      <c r="B97" s="170"/>
      <c r="C97" s="170"/>
      <c r="D97" s="170"/>
      <c r="E97" s="170"/>
      <c r="F97" s="170"/>
      <c r="G97" s="170"/>
      <c r="H97" s="170"/>
      <c r="I97" s="170"/>
      <c r="J97" s="170"/>
      <c r="K97" s="170"/>
      <c r="L97" s="170"/>
      <c r="M97" s="170"/>
    </row>
    <row r="98" spans="1:13">
      <c r="A98" s="170"/>
      <c r="B98" s="170"/>
      <c r="C98" s="170"/>
      <c r="D98" s="170"/>
      <c r="E98" s="170"/>
      <c r="F98" s="170"/>
      <c r="G98" s="170"/>
      <c r="H98" s="170"/>
      <c r="I98" s="170"/>
      <c r="J98" s="170"/>
      <c r="K98" s="170"/>
      <c r="L98" s="170"/>
      <c r="M98" s="170"/>
    </row>
    <row r="99" spans="1:13">
      <c r="A99" s="170"/>
      <c r="B99" s="170"/>
      <c r="C99" s="170"/>
      <c r="D99" s="170"/>
      <c r="E99" s="170"/>
      <c r="F99" s="170"/>
      <c r="G99" s="170"/>
      <c r="H99" s="170"/>
      <c r="I99" s="170"/>
      <c r="J99" s="170"/>
      <c r="K99" s="170"/>
      <c r="L99" s="170"/>
      <c r="M99" s="170"/>
    </row>
    <row r="100" spans="1:13">
      <c r="A100" s="170"/>
      <c r="B100" s="170"/>
      <c r="C100" s="170"/>
      <c r="D100" s="170"/>
      <c r="E100" s="170"/>
      <c r="F100" s="170"/>
      <c r="G100" s="170"/>
      <c r="H100" s="170"/>
      <c r="I100" s="170"/>
      <c r="J100" s="170"/>
      <c r="K100" s="170"/>
      <c r="L100" s="170"/>
      <c r="M100" s="170"/>
    </row>
    <row r="101" spans="1:13">
      <c r="A101" s="170"/>
      <c r="B101" s="170"/>
      <c r="C101" s="170"/>
      <c r="D101" s="170"/>
      <c r="E101" s="170"/>
      <c r="F101" s="170"/>
      <c r="G101" s="170"/>
      <c r="H101" s="170"/>
      <c r="I101" s="170"/>
      <c r="J101" s="170"/>
      <c r="K101" s="170"/>
      <c r="L101" s="170"/>
      <c r="M101" s="170"/>
    </row>
    <row r="102" spans="1:13">
      <c r="A102" s="170"/>
      <c r="B102" s="170"/>
      <c r="C102" s="170"/>
      <c r="D102" s="170"/>
      <c r="E102" s="170"/>
      <c r="F102" s="170"/>
      <c r="G102" s="170"/>
      <c r="H102" s="170"/>
      <c r="I102" s="170"/>
      <c r="J102" s="170"/>
      <c r="K102" s="170"/>
      <c r="L102" s="170"/>
      <c r="M102" s="170"/>
    </row>
    <row r="103" spans="1:13">
      <c r="A103" s="170"/>
      <c r="B103" s="170"/>
      <c r="C103" s="170"/>
      <c r="D103" s="170"/>
      <c r="E103" s="170"/>
      <c r="F103" s="170"/>
      <c r="G103" s="170"/>
      <c r="H103" s="170"/>
      <c r="I103" s="170"/>
      <c r="J103" s="170"/>
      <c r="K103" s="170"/>
      <c r="L103" s="170"/>
      <c r="M103" s="170"/>
    </row>
    <row r="104" spans="1:13">
      <c r="A104" s="170"/>
      <c r="B104" s="170"/>
      <c r="C104" s="170"/>
      <c r="D104" s="170"/>
      <c r="E104" s="170"/>
      <c r="F104" s="170"/>
      <c r="G104" s="170"/>
      <c r="H104" s="170"/>
      <c r="I104" s="170"/>
      <c r="J104" s="170"/>
      <c r="K104" s="170"/>
      <c r="L104" s="170"/>
      <c r="M104" s="170"/>
    </row>
    <row r="105" spans="1:13">
      <c r="A105" s="170"/>
      <c r="B105" s="170"/>
      <c r="C105" s="170"/>
      <c r="D105" s="170"/>
      <c r="E105" s="170"/>
      <c r="F105" s="170"/>
      <c r="G105" s="170"/>
      <c r="H105" s="170"/>
      <c r="I105" s="170"/>
      <c r="J105" s="170"/>
      <c r="K105" s="170"/>
      <c r="L105" s="170"/>
      <c r="M105" s="170"/>
    </row>
    <row r="106" spans="1:13">
      <c r="A106" s="170"/>
      <c r="B106" s="170"/>
      <c r="C106" s="170"/>
      <c r="D106" s="170"/>
      <c r="E106" s="170"/>
      <c r="F106" s="170"/>
      <c r="G106" s="170"/>
      <c r="H106" s="170"/>
      <c r="I106" s="170"/>
      <c r="J106" s="170"/>
      <c r="K106" s="170"/>
      <c r="L106" s="170"/>
      <c r="M106" s="170"/>
    </row>
    <row r="107" spans="1:13">
      <c r="A107" s="170"/>
      <c r="B107" s="170"/>
      <c r="C107" s="170"/>
      <c r="D107" s="170"/>
      <c r="E107" s="170"/>
      <c r="F107" s="170"/>
      <c r="G107" s="170"/>
      <c r="H107" s="170"/>
      <c r="I107" s="170"/>
      <c r="J107" s="170"/>
      <c r="K107" s="170"/>
      <c r="L107" s="170"/>
      <c r="M107" s="170"/>
    </row>
    <row r="108" spans="1:13">
      <c r="A108" s="170"/>
      <c r="B108" s="170"/>
      <c r="C108" s="170"/>
      <c r="D108" s="170"/>
      <c r="E108" s="170"/>
      <c r="F108" s="170"/>
      <c r="G108" s="170"/>
      <c r="H108" s="170"/>
      <c r="I108" s="170"/>
      <c r="J108" s="170"/>
      <c r="K108" s="170"/>
      <c r="L108" s="170"/>
      <c r="M108" s="170"/>
    </row>
    <row r="109" spans="1:13">
      <c r="A109" s="170"/>
      <c r="B109" s="170"/>
      <c r="C109" s="170"/>
      <c r="D109" s="170"/>
      <c r="E109" s="170"/>
      <c r="F109" s="170"/>
      <c r="G109" s="170"/>
      <c r="H109" s="170"/>
      <c r="I109" s="170"/>
      <c r="J109" s="170"/>
      <c r="K109" s="170"/>
      <c r="L109" s="170"/>
      <c r="M109" s="170"/>
    </row>
    <row r="110" spans="1:13">
      <c r="A110" s="170"/>
      <c r="B110" s="170"/>
      <c r="C110" s="170"/>
      <c r="D110" s="170"/>
      <c r="E110" s="170"/>
      <c r="F110" s="170"/>
      <c r="G110" s="170"/>
      <c r="H110" s="170"/>
      <c r="I110" s="170"/>
      <c r="J110" s="170"/>
      <c r="K110" s="170"/>
      <c r="L110" s="170"/>
      <c r="M110" s="170"/>
    </row>
    <row r="111" spans="1:13">
      <c r="A111" s="170"/>
      <c r="B111" s="170"/>
      <c r="C111" s="170"/>
      <c r="D111" s="170"/>
      <c r="E111" s="170"/>
      <c r="F111" s="170"/>
      <c r="G111" s="170"/>
      <c r="H111" s="170"/>
      <c r="I111" s="170"/>
      <c r="J111" s="170"/>
      <c r="K111" s="170"/>
      <c r="L111" s="170"/>
      <c r="M111" s="170"/>
    </row>
    <row r="112" spans="1:13">
      <c r="A112" s="170"/>
      <c r="B112" s="170"/>
      <c r="C112" s="170"/>
      <c r="D112" s="170"/>
      <c r="E112" s="170"/>
      <c r="F112" s="170"/>
      <c r="G112" s="170"/>
      <c r="H112" s="170"/>
      <c r="I112" s="170"/>
      <c r="J112" s="170"/>
      <c r="K112" s="170"/>
      <c r="L112" s="170"/>
      <c r="M112" s="170"/>
    </row>
    <row r="113" spans="1:13">
      <c r="A113" s="170"/>
      <c r="B113" s="170"/>
      <c r="C113" s="170"/>
      <c r="D113" s="170"/>
      <c r="E113" s="170"/>
      <c r="F113" s="170"/>
      <c r="G113" s="170"/>
      <c r="H113" s="170"/>
      <c r="I113" s="170"/>
      <c r="J113" s="170"/>
      <c r="K113" s="170"/>
      <c r="L113" s="170"/>
      <c r="M113" s="170"/>
    </row>
    <row r="114" spans="1:13">
      <c r="A114" s="170"/>
      <c r="B114" s="170"/>
      <c r="C114" s="170"/>
      <c r="D114" s="170"/>
      <c r="E114" s="170"/>
      <c r="F114" s="170"/>
      <c r="G114" s="170"/>
      <c r="H114" s="170"/>
      <c r="I114" s="170"/>
      <c r="J114" s="170"/>
      <c r="K114" s="170"/>
      <c r="L114" s="170"/>
      <c r="M114" s="170"/>
    </row>
    <row r="115" spans="1:13">
      <c r="A115" s="170"/>
      <c r="B115" s="170"/>
      <c r="C115" s="170"/>
      <c r="D115" s="170"/>
      <c r="E115" s="170"/>
      <c r="F115" s="170"/>
      <c r="G115" s="170"/>
      <c r="H115" s="170"/>
      <c r="I115" s="170"/>
      <c r="J115" s="170"/>
      <c r="K115" s="170"/>
      <c r="L115" s="170"/>
      <c r="M115" s="170"/>
    </row>
    <row r="116" spans="1:13">
      <c r="A116" s="170"/>
      <c r="B116" s="170"/>
      <c r="C116" s="170"/>
      <c r="D116" s="170"/>
      <c r="E116" s="170"/>
      <c r="F116" s="170"/>
      <c r="G116" s="170"/>
      <c r="H116" s="170"/>
      <c r="I116" s="170"/>
      <c r="J116" s="170"/>
      <c r="K116" s="170"/>
      <c r="L116" s="170"/>
      <c r="M116" s="170"/>
    </row>
    <row r="117" spans="1:13">
      <c r="A117" s="170"/>
      <c r="B117" s="170"/>
      <c r="C117" s="170"/>
      <c r="D117" s="170"/>
      <c r="E117" s="170"/>
      <c r="F117" s="170"/>
      <c r="G117" s="170"/>
      <c r="H117" s="170"/>
      <c r="I117" s="170"/>
      <c r="J117" s="170"/>
      <c r="K117" s="170"/>
      <c r="L117" s="170"/>
      <c r="M117" s="170"/>
    </row>
    <row r="118" spans="1:13">
      <c r="A118" s="170"/>
      <c r="B118" s="170"/>
      <c r="C118" s="170"/>
      <c r="D118" s="170"/>
      <c r="E118" s="170"/>
      <c r="F118" s="170"/>
      <c r="G118" s="170"/>
      <c r="H118" s="170"/>
      <c r="I118" s="170"/>
      <c r="J118" s="170"/>
      <c r="K118" s="170"/>
      <c r="L118" s="170"/>
      <c r="M118" s="170"/>
    </row>
    <row r="119" spans="1:13">
      <c r="A119" s="170"/>
      <c r="B119" s="170"/>
      <c r="C119" s="170"/>
      <c r="D119" s="170"/>
      <c r="E119" s="170"/>
      <c r="F119" s="170"/>
      <c r="G119" s="170"/>
      <c r="H119" s="170"/>
      <c r="I119" s="170"/>
      <c r="J119" s="170"/>
      <c r="K119" s="170"/>
      <c r="L119" s="170"/>
      <c r="M119" s="170"/>
    </row>
    <row r="120" spans="1:13">
      <c r="A120" s="170"/>
      <c r="B120" s="170"/>
      <c r="C120" s="170"/>
      <c r="D120" s="170"/>
      <c r="E120" s="170"/>
      <c r="F120" s="170"/>
      <c r="G120" s="170"/>
      <c r="H120" s="170"/>
      <c r="I120" s="170"/>
      <c r="J120" s="170"/>
      <c r="K120" s="170"/>
      <c r="L120" s="170"/>
      <c r="M120" s="170"/>
    </row>
    <row r="121" spans="1:13">
      <c r="A121" s="170"/>
      <c r="B121" s="170"/>
      <c r="C121" s="170"/>
      <c r="D121" s="170"/>
      <c r="E121" s="170"/>
      <c r="F121" s="170"/>
      <c r="G121" s="170"/>
      <c r="H121" s="170"/>
      <c r="I121" s="170"/>
      <c r="J121" s="170"/>
      <c r="K121" s="170"/>
      <c r="L121" s="170"/>
      <c r="M121" s="170"/>
    </row>
    <row r="122" spans="1:13">
      <c r="A122" s="170"/>
      <c r="B122" s="170"/>
      <c r="C122" s="170"/>
      <c r="D122" s="170"/>
      <c r="E122" s="170"/>
      <c r="F122" s="170"/>
      <c r="G122" s="170"/>
      <c r="H122" s="170"/>
      <c r="I122" s="170"/>
      <c r="J122" s="170"/>
      <c r="K122" s="170"/>
      <c r="L122" s="170"/>
      <c r="M122" s="170"/>
    </row>
    <row r="123" spans="1:13">
      <c r="A123" s="170"/>
      <c r="B123" s="170"/>
      <c r="C123" s="170"/>
      <c r="D123" s="170"/>
      <c r="E123" s="170"/>
      <c r="F123" s="170"/>
      <c r="G123" s="170"/>
      <c r="H123" s="170"/>
      <c r="I123" s="170"/>
      <c r="J123" s="170"/>
      <c r="K123" s="170"/>
      <c r="L123" s="170"/>
      <c r="M123" s="170"/>
    </row>
    <row r="124" spans="1:13">
      <c r="A124" s="170"/>
      <c r="B124" s="170"/>
      <c r="C124" s="170"/>
      <c r="D124" s="170"/>
      <c r="E124" s="170"/>
      <c r="F124" s="170"/>
      <c r="G124" s="170"/>
      <c r="H124" s="170"/>
      <c r="I124" s="170"/>
      <c r="J124" s="170"/>
      <c r="K124" s="170"/>
      <c r="L124" s="170"/>
      <c r="M124" s="170"/>
    </row>
    <row r="125" spans="1:13">
      <c r="A125" s="170"/>
      <c r="B125" s="170"/>
      <c r="C125" s="170"/>
      <c r="D125" s="170"/>
      <c r="E125" s="170"/>
      <c r="F125" s="170"/>
      <c r="G125" s="170"/>
      <c r="H125" s="170"/>
      <c r="I125" s="170"/>
      <c r="J125" s="170"/>
      <c r="K125" s="170"/>
      <c r="L125" s="170"/>
      <c r="M125" s="170"/>
    </row>
    <row r="126" spans="1:13">
      <c r="A126" s="170"/>
      <c r="B126" s="170"/>
      <c r="C126" s="170"/>
      <c r="D126" s="170"/>
      <c r="E126" s="170"/>
      <c r="F126" s="170"/>
      <c r="G126" s="170"/>
      <c r="H126" s="170"/>
      <c r="I126" s="170"/>
      <c r="J126" s="170"/>
      <c r="K126" s="170"/>
      <c r="L126" s="170"/>
      <c r="M126" s="170"/>
    </row>
    <row r="127" spans="1:13">
      <c r="A127" s="170"/>
      <c r="B127" s="170"/>
      <c r="C127" s="170"/>
      <c r="D127" s="170"/>
      <c r="E127" s="170"/>
      <c r="F127" s="170"/>
      <c r="G127" s="170"/>
      <c r="H127" s="170"/>
      <c r="I127" s="170"/>
      <c r="J127" s="170"/>
      <c r="K127" s="170"/>
      <c r="L127" s="170"/>
      <c r="M127" s="170"/>
    </row>
    <row r="128" spans="1:13">
      <c r="A128" s="170"/>
      <c r="B128" s="170"/>
      <c r="C128" s="170"/>
      <c r="D128" s="170"/>
      <c r="E128" s="170"/>
      <c r="F128" s="170"/>
      <c r="G128" s="170"/>
      <c r="H128" s="170"/>
      <c r="I128" s="170"/>
      <c r="J128" s="170"/>
      <c r="K128" s="170"/>
      <c r="L128" s="170"/>
      <c r="M128" s="170"/>
    </row>
    <row r="129" spans="1:13">
      <c r="A129" s="170"/>
      <c r="B129" s="170"/>
      <c r="C129" s="170"/>
      <c r="D129" s="170"/>
      <c r="E129" s="170"/>
      <c r="F129" s="170"/>
      <c r="G129" s="170"/>
      <c r="H129" s="170"/>
      <c r="I129" s="170"/>
      <c r="J129" s="170"/>
      <c r="K129" s="170"/>
      <c r="L129" s="170"/>
      <c r="M129" s="170"/>
    </row>
    <row r="130" spans="1:13">
      <c r="A130" s="170"/>
      <c r="B130" s="170"/>
      <c r="C130" s="170"/>
      <c r="D130" s="170"/>
      <c r="E130" s="170"/>
      <c r="F130" s="170"/>
      <c r="G130" s="170"/>
      <c r="H130" s="170"/>
      <c r="I130" s="170"/>
      <c r="J130" s="170"/>
      <c r="K130" s="170"/>
      <c r="L130" s="170"/>
      <c r="M130" s="170"/>
    </row>
    <row r="131" spans="1:13">
      <c r="A131" s="170"/>
      <c r="B131" s="170"/>
      <c r="C131" s="170"/>
      <c r="D131" s="170"/>
      <c r="E131" s="170"/>
      <c r="F131" s="170"/>
      <c r="G131" s="170"/>
      <c r="H131" s="170"/>
      <c r="I131" s="170"/>
      <c r="J131" s="170"/>
      <c r="K131" s="170"/>
      <c r="L131" s="170"/>
      <c r="M131" s="170"/>
    </row>
    <row r="132" spans="1:13">
      <c r="A132" s="170"/>
      <c r="B132" s="170"/>
      <c r="C132" s="170"/>
      <c r="D132" s="170"/>
      <c r="E132" s="170"/>
      <c r="F132" s="170"/>
      <c r="G132" s="170"/>
      <c r="H132" s="170"/>
      <c r="I132" s="170"/>
      <c r="J132" s="170"/>
      <c r="K132" s="170"/>
      <c r="L132" s="170"/>
      <c r="M132" s="170"/>
    </row>
    <row r="133" spans="1:13">
      <c r="A133" s="170"/>
      <c r="B133" s="170"/>
      <c r="C133" s="170"/>
      <c r="D133" s="170"/>
      <c r="E133" s="170"/>
      <c r="F133" s="170"/>
      <c r="G133" s="170"/>
      <c r="H133" s="170"/>
      <c r="I133" s="170"/>
      <c r="J133" s="170"/>
      <c r="K133" s="170"/>
      <c r="L133" s="170"/>
      <c r="M133" s="170"/>
    </row>
    <row r="134" spans="1:13">
      <c r="A134" s="170"/>
      <c r="B134" s="170"/>
      <c r="C134" s="170"/>
      <c r="D134" s="170"/>
      <c r="E134" s="170"/>
      <c r="F134" s="170"/>
      <c r="G134" s="170"/>
      <c r="H134" s="170"/>
      <c r="I134" s="170"/>
      <c r="J134" s="170"/>
      <c r="K134" s="170"/>
      <c r="L134" s="170"/>
      <c r="M134" s="170"/>
    </row>
    <row r="135" spans="1:13">
      <c r="A135" s="170"/>
      <c r="B135" s="170"/>
      <c r="C135" s="170"/>
      <c r="D135" s="170"/>
      <c r="E135" s="170"/>
      <c r="F135" s="170"/>
      <c r="G135" s="170"/>
      <c r="H135" s="170"/>
      <c r="I135" s="170"/>
      <c r="J135" s="170"/>
      <c r="K135" s="170"/>
      <c r="L135" s="170"/>
      <c r="M135" s="170"/>
    </row>
    <row r="136" spans="1:13">
      <c r="A136" s="170"/>
      <c r="B136" s="170"/>
      <c r="C136" s="170"/>
      <c r="D136" s="170"/>
      <c r="E136" s="170"/>
      <c r="F136" s="170"/>
      <c r="G136" s="170"/>
      <c r="H136" s="170"/>
      <c r="I136" s="170"/>
      <c r="J136" s="170"/>
      <c r="K136" s="170"/>
      <c r="L136" s="170"/>
      <c r="M136" s="170"/>
    </row>
    <row r="137" spans="1:13">
      <c r="A137" s="170"/>
      <c r="B137" s="170"/>
      <c r="C137" s="170"/>
      <c r="D137" s="170"/>
      <c r="E137" s="170"/>
      <c r="F137" s="170"/>
      <c r="G137" s="170"/>
      <c r="H137" s="170"/>
      <c r="I137" s="170"/>
      <c r="J137" s="170"/>
      <c r="K137" s="170"/>
      <c r="L137" s="170"/>
      <c r="M137" s="170"/>
    </row>
    <row r="138" spans="1:13">
      <c r="A138" s="170"/>
      <c r="B138" s="170"/>
      <c r="C138" s="170"/>
      <c r="D138" s="170"/>
      <c r="E138" s="170"/>
      <c r="F138" s="170"/>
      <c r="G138" s="170"/>
      <c r="H138" s="170"/>
      <c r="I138" s="170"/>
      <c r="J138" s="170"/>
      <c r="K138" s="170"/>
      <c r="L138" s="170"/>
      <c r="M138" s="170"/>
    </row>
    <row r="139" spans="1:13">
      <c r="A139" s="170"/>
      <c r="B139" s="170"/>
      <c r="C139" s="170"/>
      <c r="D139" s="170"/>
      <c r="E139" s="170"/>
      <c r="F139" s="170"/>
      <c r="G139" s="170"/>
      <c r="H139" s="170"/>
      <c r="I139" s="170"/>
      <c r="J139" s="170"/>
      <c r="K139" s="170"/>
      <c r="L139" s="170"/>
      <c r="M139" s="170"/>
    </row>
    <row r="140" spans="1:13">
      <c r="A140" s="170"/>
      <c r="B140" s="170"/>
      <c r="C140" s="170"/>
      <c r="D140" s="170"/>
      <c r="E140" s="170"/>
      <c r="F140" s="170"/>
      <c r="G140" s="170"/>
      <c r="H140" s="170"/>
      <c r="I140" s="170"/>
      <c r="J140" s="170"/>
      <c r="K140" s="170"/>
      <c r="L140" s="170"/>
      <c r="M140" s="170"/>
    </row>
    <row r="141" spans="1:13">
      <c r="A141" s="170"/>
      <c r="B141" s="170"/>
      <c r="C141" s="170"/>
      <c r="D141" s="170"/>
      <c r="E141" s="170"/>
      <c r="F141" s="170"/>
      <c r="G141" s="170"/>
      <c r="H141" s="170"/>
      <c r="I141" s="170"/>
      <c r="J141" s="170"/>
      <c r="K141" s="170"/>
      <c r="L141" s="170"/>
      <c r="M141" s="17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3:M84"/>
  <sheetViews>
    <sheetView topLeftCell="A13" workbookViewId="0">
      <selection activeCell="A3" sqref="A3:M84"/>
    </sheetView>
  </sheetViews>
  <sheetFormatPr defaultRowHeight="15"/>
  <sheetData>
    <row r="3" spans="1:13">
      <c r="A3" s="1" t="s">
        <v>0</v>
      </c>
      <c r="B3" s="1" t="s">
        <v>187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1"/>
      <c r="B4" s="1" t="s">
        <v>98</v>
      </c>
      <c r="C4" s="1"/>
      <c r="D4" s="1"/>
      <c r="E4" s="1"/>
      <c r="F4" s="1" t="s">
        <v>81</v>
      </c>
      <c r="G4" s="1"/>
      <c r="H4" s="1"/>
      <c r="I4" s="1"/>
      <c r="J4" s="1"/>
      <c r="K4" s="1"/>
      <c r="L4" s="1"/>
      <c r="M4" s="1"/>
    </row>
    <row r="5" spans="1:1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>
      <c r="A6" s="15" t="s">
        <v>4</v>
      </c>
      <c r="B6" s="15"/>
      <c r="C6" s="15"/>
      <c r="D6" s="38" t="s">
        <v>5</v>
      </c>
      <c r="E6" s="38" t="s">
        <v>6</v>
      </c>
      <c r="F6" s="38" t="s">
        <v>7</v>
      </c>
      <c r="G6" s="38" t="s">
        <v>8</v>
      </c>
      <c r="H6" s="38" t="s">
        <v>9</v>
      </c>
      <c r="I6" s="38" t="s">
        <v>10</v>
      </c>
      <c r="J6" s="38" t="s">
        <v>11</v>
      </c>
      <c r="K6" s="38" t="s">
        <v>12</v>
      </c>
      <c r="L6" s="2" t="s">
        <v>82</v>
      </c>
      <c r="M6" s="38"/>
    </row>
    <row r="7" spans="1:13">
      <c r="A7" s="27"/>
      <c r="B7" s="27"/>
      <c r="C7" s="27"/>
      <c r="D7" s="32" t="s">
        <v>14</v>
      </c>
      <c r="E7" s="32" t="s">
        <v>15</v>
      </c>
      <c r="F7" s="32" t="s">
        <v>15</v>
      </c>
      <c r="G7" s="32" t="s">
        <v>16</v>
      </c>
      <c r="H7" s="32" t="s">
        <v>17</v>
      </c>
      <c r="I7" s="32" t="s">
        <v>18</v>
      </c>
      <c r="J7" s="32" t="s">
        <v>17</v>
      </c>
      <c r="K7" s="32" t="s">
        <v>17</v>
      </c>
      <c r="L7" s="3" t="s">
        <v>10</v>
      </c>
      <c r="M7" s="32" t="s">
        <v>11</v>
      </c>
    </row>
    <row r="8" spans="1:13">
      <c r="A8" s="27"/>
      <c r="B8" s="27"/>
      <c r="C8" s="27"/>
      <c r="D8" s="32" t="s">
        <v>21</v>
      </c>
      <c r="E8" s="32"/>
      <c r="F8" s="32"/>
      <c r="G8" s="32"/>
      <c r="H8" s="32" t="s">
        <v>22</v>
      </c>
      <c r="I8" s="32" t="s">
        <v>17</v>
      </c>
      <c r="J8" s="32" t="s">
        <v>22</v>
      </c>
      <c r="K8" s="32" t="s">
        <v>22</v>
      </c>
      <c r="L8" s="32"/>
      <c r="M8" s="32"/>
    </row>
    <row r="9" spans="1:13">
      <c r="A9" s="18"/>
      <c r="B9" s="18"/>
      <c r="C9" s="18"/>
      <c r="D9" s="39"/>
      <c r="E9" s="39"/>
      <c r="F9" s="39"/>
      <c r="G9" s="39"/>
      <c r="H9" s="39"/>
      <c r="I9" s="39" t="s">
        <v>22</v>
      </c>
      <c r="J9" s="39"/>
      <c r="K9" s="39"/>
      <c r="L9" s="39"/>
      <c r="M9" s="39"/>
    </row>
    <row r="10" spans="1:13">
      <c r="A10" s="1" t="s">
        <v>94</v>
      </c>
      <c r="B10" s="1"/>
      <c r="C10" s="1"/>
      <c r="D10" s="4">
        <v>100</v>
      </c>
      <c r="E10" s="5">
        <v>11</v>
      </c>
      <c r="F10" s="5">
        <v>2.8</v>
      </c>
      <c r="G10" s="6">
        <v>1283</v>
      </c>
      <c r="H10" s="7">
        <f>+G10*E10</f>
        <v>14113</v>
      </c>
      <c r="I10" s="1"/>
      <c r="J10" s="7"/>
      <c r="K10" s="7">
        <f>+J10+I10+H10</f>
        <v>14113</v>
      </c>
      <c r="L10" s="1"/>
      <c r="M10" s="1"/>
    </row>
    <row r="11" spans="1:13">
      <c r="A11" s="1" t="s">
        <v>99</v>
      </c>
      <c r="B11" s="1"/>
      <c r="C11" s="1"/>
      <c r="D11" s="4">
        <v>87</v>
      </c>
      <c r="E11" s="5">
        <v>1</v>
      </c>
      <c r="F11" s="5">
        <v>0.9</v>
      </c>
      <c r="G11" s="6">
        <v>1328</v>
      </c>
      <c r="H11" s="7">
        <f>+G11*E11</f>
        <v>1328</v>
      </c>
      <c r="I11" s="7">
        <v>9760</v>
      </c>
      <c r="J11" s="11"/>
      <c r="K11" s="7">
        <f t="shared" ref="K11:K19" si="0">+J11+I11+H11</f>
        <v>11088</v>
      </c>
      <c r="L11" s="11">
        <v>3475</v>
      </c>
      <c r="M11" s="11"/>
    </row>
    <row r="12" spans="1:13">
      <c r="A12" s="1" t="s">
        <v>247</v>
      </c>
      <c r="B12" s="1"/>
      <c r="C12" s="1"/>
      <c r="D12" s="58" t="s">
        <v>31</v>
      </c>
      <c r="E12" s="68" t="s">
        <v>218</v>
      </c>
      <c r="F12" s="68" t="s">
        <v>219</v>
      </c>
      <c r="G12" s="67" t="s">
        <v>220</v>
      </c>
      <c r="H12" s="13" t="s">
        <v>191</v>
      </c>
      <c r="I12" s="117"/>
      <c r="J12" s="118"/>
      <c r="K12" s="7"/>
      <c r="L12" s="11"/>
      <c r="M12" s="11"/>
    </row>
    <row r="13" spans="1:13">
      <c r="A13" s="1" t="s">
        <v>101</v>
      </c>
      <c r="B13" s="1"/>
      <c r="C13" s="1"/>
      <c r="D13" s="4">
        <v>100</v>
      </c>
      <c r="E13" s="5">
        <v>12.3</v>
      </c>
      <c r="F13" s="5">
        <v>4.4000000000000004</v>
      </c>
      <c r="G13" s="6">
        <v>1328</v>
      </c>
      <c r="H13" s="7">
        <v>16334</v>
      </c>
      <c r="I13" s="7"/>
      <c r="J13" s="7">
        <v>4558</v>
      </c>
      <c r="K13" s="7">
        <f t="shared" si="0"/>
        <v>20892</v>
      </c>
      <c r="L13" s="11"/>
      <c r="M13" s="11"/>
    </row>
    <row r="14" spans="1:13">
      <c r="A14" s="1" t="s">
        <v>114</v>
      </c>
      <c r="B14" s="1"/>
      <c r="C14" s="1"/>
      <c r="D14" s="4">
        <v>100</v>
      </c>
      <c r="E14" s="5">
        <v>14</v>
      </c>
      <c r="F14" s="5">
        <v>4.7</v>
      </c>
      <c r="G14" s="6">
        <v>1301</v>
      </c>
      <c r="H14" s="7">
        <f t="shared" ref="H14:H19" si="1">+G14*E14</f>
        <v>18214</v>
      </c>
      <c r="I14" s="7"/>
      <c r="J14" s="7">
        <v>154874</v>
      </c>
      <c r="K14" s="7">
        <f t="shared" si="0"/>
        <v>173088</v>
      </c>
      <c r="L14" s="11"/>
      <c r="M14" s="11">
        <v>10096</v>
      </c>
    </row>
    <row r="15" spans="1:13">
      <c r="A15" s="1" t="s">
        <v>86</v>
      </c>
      <c r="B15" s="1"/>
      <c r="C15" s="1"/>
      <c r="D15" s="4">
        <v>100</v>
      </c>
      <c r="E15" s="5">
        <v>11.8</v>
      </c>
      <c r="F15" s="5">
        <v>6.9</v>
      </c>
      <c r="G15" s="6">
        <v>1487</v>
      </c>
      <c r="H15" s="7">
        <v>17547</v>
      </c>
      <c r="I15" s="7"/>
      <c r="J15" s="7">
        <v>21564</v>
      </c>
      <c r="K15" s="7">
        <f t="shared" si="0"/>
        <v>39111</v>
      </c>
      <c r="L15" s="11"/>
      <c r="M15" s="11"/>
    </row>
    <row r="16" spans="1:13">
      <c r="A16" s="1" t="s">
        <v>37</v>
      </c>
      <c r="B16" s="1"/>
      <c r="C16" s="1"/>
      <c r="D16" s="4">
        <v>100</v>
      </c>
      <c r="E16" s="5">
        <v>13.1</v>
      </c>
      <c r="F16" s="5">
        <v>6</v>
      </c>
      <c r="G16" s="6">
        <v>1376</v>
      </c>
      <c r="H16" s="7">
        <v>18026</v>
      </c>
      <c r="I16" s="7"/>
      <c r="J16" s="7"/>
      <c r="K16" s="7">
        <f t="shared" si="0"/>
        <v>18026</v>
      </c>
      <c r="L16" s="1"/>
      <c r="M16" s="1"/>
    </row>
    <row r="17" spans="1:13">
      <c r="A17" s="1" t="s">
        <v>134</v>
      </c>
      <c r="B17" s="1"/>
      <c r="C17" s="1"/>
      <c r="D17" s="4">
        <v>100</v>
      </c>
      <c r="E17" s="5">
        <v>12.2</v>
      </c>
      <c r="F17" s="5">
        <v>10.5</v>
      </c>
      <c r="G17" s="6">
        <v>1500</v>
      </c>
      <c r="H17" s="7">
        <f t="shared" si="1"/>
        <v>18300</v>
      </c>
      <c r="I17" s="7"/>
      <c r="J17" s="7">
        <v>21428</v>
      </c>
      <c r="K17" s="7">
        <f t="shared" si="0"/>
        <v>39728</v>
      </c>
      <c r="L17" s="1"/>
      <c r="M17" s="1"/>
    </row>
    <row r="18" spans="1:13">
      <c r="A18" s="1" t="s">
        <v>40</v>
      </c>
      <c r="B18" s="1"/>
      <c r="C18" s="1"/>
      <c r="D18" s="4">
        <v>100</v>
      </c>
      <c r="E18" s="5">
        <v>17.100000000000001</v>
      </c>
      <c r="F18" s="5">
        <v>14.1</v>
      </c>
      <c r="G18" s="6">
        <v>1200</v>
      </c>
      <c r="H18" s="7">
        <f t="shared" si="1"/>
        <v>20520</v>
      </c>
      <c r="I18" s="7">
        <v>6659</v>
      </c>
      <c r="J18" s="11"/>
      <c r="K18" s="7">
        <f t="shared" si="0"/>
        <v>27179</v>
      </c>
      <c r="L18" s="1"/>
      <c r="M18" s="1"/>
    </row>
    <row r="19" spans="1:13">
      <c r="A19" s="1" t="s">
        <v>192</v>
      </c>
      <c r="B19" s="1"/>
      <c r="C19" s="1"/>
      <c r="D19" s="4">
        <v>100</v>
      </c>
      <c r="E19" s="5">
        <v>21.1</v>
      </c>
      <c r="F19" s="5">
        <v>6.6</v>
      </c>
      <c r="G19" s="6">
        <v>1310</v>
      </c>
      <c r="H19" s="7">
        <f t="shared" si="1"/>
        <v>27641.000000000004</v>
      </c>
      <c r="I19" s="7"/>
      <c r="J19" s="11"/>
      <c r="K19" s="7">
        <f t="shared" si="0"/>
        <v>27641.000000000004</v>
      </c>
      <c r="L19" s="1"/>
      <c r="M19" s="1"/>
    </row>
    <row r="20" spans="1:13">
      <c r="A20" s="15" t="s">
        <v>43</v>
      </c>
      <c r="B20" s="15"/>
      <c r="C20" s="15"/>
      <c r="D20" s="16"/>
      <c r="E20" s="17">
        <f>SUM(E10:E19)</f>
        <v>113.6</v>
      </c>
      <c r="F20" s="17">
        <f>SUM(F10:F19)</f>
        <v>56.900000000000006</v>
      </c>
      <c r="G20" s="17"/>
      <c r="H20" s="17">
        <f>SUM(H10:H19)</f>
        <v>152023</v>
      </c>
      <c r="I20" s="17">
        <f t="shared" ref="I20:M20" si="2">SUM(I10:I19)</f>
        <v>16419</v>
      </c>
      <c r="J20" s="17">
        <f t="shared" si="2"/>
        <v>202424</v>
      </c>
      <c r="K20" s="17">
        <f t="shared" si="2"/>
        <v>370866</v>
      </c>
      <c r="L20" s="17">
        <f t="shared" si="2"/>
        <v>3475</v>
      </c>
      <c r="M20" s="17">
        <f t="shared" si="2"/>
        <v>10096</v>
      </c>
    </row>
    <row r="21" spans="1:13">
      <c r="A21" s="18" t="s">
        <v>44</v>
      </c>
      <c r="B21" s="18"/>
      <c r="C21" s="18"/>
      <c r="D21" s="19"/>
      <c r="E21" s="20">
        <f>SUM(E20-F20)</f>
        <v>56.699999999999989</v>
      </c>
      <c r="F21" s="20"/>
      <c r="G21" s="20"/>
      <c r="H21" s="20">
        <f>+G32*E32</f>
        <v>76038</v>
      </c>
      <c r="I21" s="20">
        <f>I20-L20</f>
        <v>12944</v>
      </c>
      <c r="J21" s="20">
        <f>J20-M20</f>
        <v>192328</v>
      </c>
      <c r="K21" s="20">
        <f>+J21+I21+H21</f>
        <v>281310</v>
      </c>
      <c r="L21" s="18"/>
      <c r="M21" s="18"/>
    </row>
    <row r="22" spans="1:13">
      <c r="A22" s="1"/>
      <c r="B22" s="1"/>
      <c r="C22" s="1"/>
      <c r="D22" s="1"/>
      <c r="E22" s="1"/>
      <c r="F22" s="1"/>
      <c r="G22" s="1"/>
      <c r="H22" s="1"/>
      <c r="I22" s="5"/>
      <c r="J22" s="5"/>
      <c r="K22" s="1"/>
      <c r="L22" s="1"/>
      <c r="M22" s="1"/>
    </row>
    <row r="23" spans="1:13">
      <c r="A23" s="1"/>
      <c r="B23" s="1"/>
      <c r="C23" s="1" t="s">
        <v>45</v>
      </c>
      <c r="D23" s="1"/>
      <c r="E23" s="1"/>
      <c r="F23" s="1"/>
      <c r="G23" s="1"/>
      <c r="H23" s="1"/>
      <c r="I23" s="7"/>
      <c r="J23" s="7"/>
      <c r="K23" s="7"/>
      <c r="L23" s="1"/>
      <c r="M23" s="1"/>
    </row>
    <row r="24" spans="1:13">
      <c r="A24" s="1"/>
      <c r="B24" s="1"/>
      <c r="C24" s="1"/>
      <c r="D24" s="1"/>
      <c r="E24" s="1"/>
      <c r="F24" s="1"/>
      <c r="G24" s="1"/>
      <c r="H24" s="11"/>
      <c r="I24" s="11"/>
      <c r="J24" s="11"/>
      <c r="K24" s="11"/>
      <c r="L24" s="1"/>
      <c r="M24" s="1"/>
    </row>
    <row r="25" spans="1:13">
      <c r="A25" s="1" t="s">
        <v>46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22" t="s">
        <v>47</v>
      </c>
      <c r="B26" s="22"/>
      <c r="C26" s="22"/>
      <c r="D26" s="22" t="s">
        <v>48</v>
      </c>
      <c r="E26" s="22" t="s">
        <v>49</v>
      </c>
      <c r="F26" s="22"/>
      <c r="G26" s="22" t="s">
        <v>89</v>
      </c>
      <c r="H26" s="1"/>
      <c r="I26" s="1"/>
      <c r="J26" s="1"/>
      <c r="K26" s="45"/>
      <c r="L26" s="1"/>
      <c r="M26" s="1"/>
    </row>
    <row r="27" spans="1:13">
      <c r="A27" s="1" t="s">
        <v>53</v>
      </c>
      <c r="B27" s="1"/>
      <c r="C27" s="1"/>
      <c r="D27" s="1"/>
      <c r="E27" s="1"/>
      <c r="F27" s="1"/>
      <c r="G27" s="1"/>
      <c r="H27" s="1"/>
      <c r="I27" s="1"/>
      <c r="J27" s="1"/>
      <c r="K27" s="45"/>
      <c r="L27" s="1"/>
      <c r="M27" s="1"/>
    </row>
    <row r="28" spans="1:13">
      <c r="A28" s="1" t="s">
        <v>114</v>
      </c>
      <c r="B28" s="1"/>
      <c r="C28" s="1"/>
      <c r="D28" s="7" t="s">
        <v>56</v>
      </c>
      <c r="E28" s="7">
        <v>734</v>
      </c>
      <c r="F28" s="7"/>
      <c r="G28" s="7">
        <v>211</v>
      </c>
      <c r="H28" s="1"/>
      <c r="I28" s="46" t="s">
        <v>60</v>
      </c>
      <c r="J28" s="47">
        <v>0.5</v>
      </c>
      <c r="K28" s="45"/>
      <c r="L28" s="1"/>
      <c r="M28" s="1"/>
    </row>
    <row r="29" spans="1:13">
      <c r="A29" s="1"/>
      <c r="B29" s="1"/>
      <c r="C29" s="1"/>
      <c r="D29" s="1"/>
      <c r="E29" s="1"/>
      <c r="F29" s="1"/>
      <c r="G29" s="1"/>
      <c r="H29" s="1"/>
      <c r="I29" s="49" t="s">
        <v>62</v>
      </c>
      <c r="J29" s="50">
        <v>0.5</v>
      </c>
      <c r="K29" s="45"/>
      <c r="L29" s="1"/>
      <c r="M29" s="1"/>
    </row>
    <row r="30" spans="1:1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>
      <c r="A31" s="1" t="s">
        <v>57</v>
      </c>
      <c r="B31" s="1"/>
      <c r="C31" s="1"/>
      <c r="D31" s="1"/>
      <c r="E31" s="1"/>
      <c r="F31" s="1"/>
      <c r="G31" s="1"/>
      <c r="H31" s="1"/>
      <c r="I31" s="51" t="s">
        <v>51</v>
      </c>
      <c r="J31" s="47" t="s">
        <v>52</v>
      </c>
      <c r="K31" s="1"/>
      <c r="L31" s="1"/>
      <c r="M31" s="1"/>
    </row>
    <row r="32" spans="1:13">
      <c r="A32" s="1" t="s">
        <v>58</v>
      </c>
      <c r="B32" s="1"/>
      <c r="C32" s="1"/>
      <c r="D32" s="29" t="s">
        <v>59</v>
      </c>
      <c r="E32" s="11">
        <v>57</v>
      </c>
      <c r="F32" s="1"/>
      <c r="G32" s="7">
        <v>1334</v>
      </c>
      <c r="H32" s="1"/>
      <c r="I32" s="51" t="s">
        <v>193</v>
      </c>
      <c r="J32" s="51">
        <v>97</v>
      </c>
      <c r="K32" s="1"/>
      <c r="L32" s="1"/>
      <c r="M32" s="1"/>
    </row>
    <row r="33" spans="1:13">
      <c r="A33" s="1" t="s">
        <v>61</v>
      </c>
      <c r="B33" s="1"/>
      <c r="C33" s="1"/>
      <c r="D33" s="29" t="s">
        <v>59</v>
      </c>
      <c r="E33" s="11">
        <v>57</v>
      </c>
      <c r="F33" s="1"/>
      <c r="G33" s="1"/>
      <c r="H33" s="1"/>
      <c r="I33" s="52" t="s">
        <v>113</v>
      </c>
      <c r="J33" s="52">
        <v>3</v>
      </c>
      <c r="K33" s="1"/>
      <c r="L33" s="1"/>
      <c r="M33" s="1"/>
    </row>
    <row r="34" spans="1:13">
      <c r="A34" s="1" t="s">
        <v>6</v>
      </c>
      <c r="B34" s="1"/>
      <c r="C34" s="1"/>
      <c r="D34" s="1"/>
      <c r="E34" s="11">
        <f>+E33+E32</f>
        <v>114</v>
      </c>
      <c r="F34" s="1"/>
      <c r="G34" s="1"/>
      <c r="H34" s="1"/>
      <c r="I34" s="27"/>
      <c r="J34" s="27"/>
      <c r="K34" s="29"/>
      <c r="L34" s="1"/>
      <c r="M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5" t="s">
        <v>63</v>
      </c>
      <c r="B36" s="15"/>
      <c r="C36" s="15" t="s">
        <v>64</v>
      </c>
      <c r="D36" s="15"/>
      <c r="E36" s="15"/>
      <c r="F36" s="15"/>
      <c r="G36" s="15"/>
      <c r="H36" s="1"/>
      <c r="I36" s="1"/>
      <c r="J36" s="1"/>
      <c r="K36" s="1"/>
      <c r="L36" s="1"/>
      <c r="M36" s="1"/>
    </row>
    <row r="37" spans="1:13">
      <c r="A37" s="27"/>
      <c r="B37" s="3"/>
      <c r="C37" s="30"/>
      <c r="D37" s="53"/>
      <c r="E37" s="27"/>
      <c r="F37" s="27"/>
      <c r="G37" s="34"/>
      <c r="H37" s="1"/>
      <c r="I37" s="1"/>
      <c r="J37" s="1"/>
      <c r="K37" s="1"/>
      <c r="L37" s="1"/>
      <c r="M37" s="1"/>
    </row>
    <row r="38" spans="1:13">
      <c r="A38" s="27" t="s">
        <v>186</v>
      </c>
      <c r="B38" s="3"/>
      <c r="C38" s="31">
        <v>63</v>
      </c>
      <c r="D38" s="53" t="s">
        <v>66</v>
      </c>
      <c r="E38" s="34">
        <v>1410</v>
      </c>
      <c r="F38" s="34"/>
      <c r="G38" s="34">
        <v>6</v>
      </c>
      <c r="H38" s="1"/>
      <c r="I38" s="1"/>
      <c r="J38" s="1"/>
      <c r="K38" s="1"/>
      <c r="L38" s="1"/>
      <c r="M38" s="1"/>
    </row>
    <row r="39" spans="1:13">
      <c r="A39" s="27" t="s">
        <v>240</v>
      </c>
      <c r="B39" s="3"/>
      <c r="C39" s="31">
        <v>45</v>
      </c>
      <c r="D39" s="53" t="s">
        <v>66</v>
      </c>
      <c r="E39" s="34">
        <v>504</v>
      </c>
      <c r="F39" s="34"/>
      <c r="G39" s="34">
        <v>26</v>
      </c>
      <c r="H39" s="1"/>
      <c r="I39" s="1"/>
      <c r="J39" s="1"/>
      <c r="K39" s="1"/>
      <c r="L39" s="1"/>
      <c r="M39" s="1"/>
    </row>
    <row r="40" spans="1:13">
      <c r="A40" s="30" t="s">
        <v>194</v>
      </c>
      <c r="B40" s="3"/>
      <c r="C40" s="30" t="s">
        <v>166</v>
      </c>
      <c r="D40" s="27"/>
      <c r="E40" s="30" t="s">
        <v>195</v>
      </c>
      <c r="F40" s="27"/>
      <c r="G40" s="30" t="s">
        <v>196</v>
      </c>
      <c r="H40" s="1"/>
      <c r="I40" s="1"/>
      <c r="J40" s="1"/>
      <c r="K40" s="1"/>
      <c r="L40" s="1"/>
      <c r="M40" s="1"/>
    </row>
    <row r="41" spans="1:13">
      <c r="A41" s="15" t="s">
        <v>70</v>
      </c>
      <c r="B41" s="15"/>
      <c r="C41" s="15"/>
      <c r="D41" s="15"/>
      <c r="E41" s="15"/>
      <c r="F41" s="15"/>
      <c r="G41" s="15"/>
      <c r="H41" s="1"/>
      <c r="I41" s="1"/>
      <c r="J41" s="1" t="s">
        <v>71</v>
      </c>
      <c r="K41" s="1"/>
      <c r="L41" s="1"/>
      <c r="M41" s="1"/>
    </row>
    <row r="42" spans="1:13">
      <c r="A42" s="27" t="s">
        <v>72</v>
      </c>
      <c r="B42" s="27"/>
      <c r="C42" s="27"/>
      <c r="D42" s="27"/>
      <c r="E42" s="27"/>
      <c r="F42" s="27"/>
      <c r="G42" s="55">
        <v>6438</v>
      </c>
      <c r="H42" s="1"/>
      <c r="I42" s="1"/>
      <c r="J42" s="7">
        <v>15908</v>
      </c>
      <c r="K42" s="11"/>
      <c r="L42" s="1"/>
      <c r="M42" s="1"/>
    </row>
    <row r="43" spans="1:13">
      <c r="A43" s="27" t="s">
        <v>74</v>
      </c>
      <c r="B43" s="27"/>
      <c r="C43" s="27"/>
      <c r="D43" s="27"/>
      <c r="E43" s="27"/>
      <c r="F43" s="27"/>
      <c r="G43" s="56">
        <v>115</v>
      </c>
      <c r="H43" s="1"/>
      <c r="I43" s="1"/>
      <c r="J43" s="7"/>
      <c r="K43" s="11"/>
      <c r="L43" s="1"/>
      <c r="M43" s="1"/>
    </row>
    <row r="44" spans="1:13">
      <c r="A44" s="27" t="s">
        <v>75</v>
      </c>
      <c r="B44" s="27"/>
      <c r="C44" s="27"/>
      <c r="D44" s="27"/>
      <c r="E44" s="27"/>
      <c r="F44" s="27"/>
      <c r="G44" s="56">
        <f>+G43*G42</f>
        <v>740370</v>
      </c>
      <c r="H44" s="1"/>
      <c r="I44" s="1"/>
      <c r="J44" s="7">
        <v>1829454</v>
      </c>
      <c r="K44" s="11"/>
      <c r="L44" s="1"/>
      <c r="M44" s="1"/>
    </row>
    <row r="45" spans="1:13">
      <c r="A45" s="27" t="s">
        <v>76</v>
      </c>
      <c r="B45" s="27"/>
      <c r="C45" s="27"/>
      <c r="D45" s="27"/>
      <c r="E45" s="27"/>
      <c r="F45" s="27"/>
      <c r="G45" s="56">
        <f>+G44-K20</f>
        <v>369504</v>
      </c>
      <c r="H45" s="1"/>
      <c r="I45" s="1"/>
      <c r="J45" s="7">
        <v>913044</v>
      </c>
      <c r="K45" s="11"/>
      <c r="L45" s="1"/>
      <c r="M45" s="1"/>
    </row>
    <row r="46" spans="1:13">
      <c r="A46" s="27" t="s">
        <v>77</v>
      </c>
      <c r="B46" s="27"/>
      <c r="C46" s="27"/>
      <c r="D46" s="27"/>
      <c r="E46" s="27"/>
      <c r="F46" s="27"/>
      <c r="G46" s="56">
        <f>+G44-K21</f>
        <v>459060</v>
      </c>
      <c r="H46" s="1"/>
      <c r="I46" s="1"/>
      <c r="J46" s="7">
        <v>1134337</v>
      </c>
      <c r="K46" s="11"/>
      <c r="L46" s="1"/>
      <c r="M46" s="1"/>
    </row>
    <row r="47" spans="1:13">
      <c r="A47" s="27"/>
      <c r="B47" s="27"/>
      <c r="C47" s="27"/>
      <c r="D47" s="27"/>
      <c r="E47" s="27"/>
      <c r="F47" s="27"/>
      <c r="G47" s="56"/>
      <c r="H47" s="1"/>
      <c r="I47" s="1"/>
      <c r="J47" s="1"/>
      <c r="K47" s="1"/>
      <c r="L47" s="1"/>
      <c r="M47" s="1"/>
    </row>
    <row r="48" spans="1:13">
      <c r="A48" s="27" t="s">
        <v>78</v>
      </c>
      <c r="B48" s="27"/>
      <c r="C48" s="27"/>
      <c r="D48" s="27"/>
      <c r="E48" s="27"/>
      <c r="F48" s="27"/>
      <c r="G48" s="56">
        <f>+K20/G42</f>
        <v>57.605778191985088</v>
      </c>
      <c r="H48" s="1"/>
      <c r="I48" s="1"/>
      <c r="J48" s="1"/>
      <c r="K48" s="1"/>
      <c r="L48" s="1"/>
      <c r="M48" s="1"/>
    </row>
    <row r="49" spans="1:13">
      <c r="A49" s="18" t="s">
        <v>79</v>
      </c>
      <c r="B49" s="18"/>
      <c r="C49" s="18"/>
      <c r="D49" s="18"/>
      <c r="E49" s="18"/>
      <c r="F49" s="18"/>
      <c r="G49" s="57">
        <f>+K21/G42</f>
        <v>43.695246971109043</v>
      </c>
      <c r="H49" s="1"/>
      <c r="I49" s="1"/>
      <c r="J49" s="1"/>
      <c r="K49" s="1"/>
      <c r="L49" s="1"/>
      <c r="M49" s="1"/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>
      <c r="A51" s="27"/>
      <c r="B51" s="27"/>
      <c r="C51" s="27"/>
      <c r="D51" s="27"/>
      <c r="E51" s="27"/>
      <c r="F51" s="27"/>
      <c r="G51" s="56"/>
      <c r="H51" s="27"/>
      <c r="I51" s="27"/>
      <c r="J51" s="27"/>
      <c r="K51" s="27"/>
      <c r="L51" s="27"/>
      <c r="M51" s="27"/>
    </row>
    <row r="52" spans="1:13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</row>
    <row r="53" spans="1:1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</row>
    <row r="54" spans="1:13">
      <c r="A54" s="170"/>
      <c r="B54" s="170"/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0"/>
    </row>
    <row r="55" spans="1:13">
      <c r="A55" s="170"/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</row>
    <row r="56" spans="1:13">
      <c r="A56" s="170"/>
      <c r="B56" s="170"/>
      <c r="C56" s="170"/>
      <c r="D56" s="170"/>
      <c r="E56" s="170"/>
      <c r="F56" s="170"/>
      <c r="G56" s="170"/>
      <c r="H56" s="170"/>
      <c r="I56" s="170"/>
      <c r="J56" s="170"/>
      <c r="K56" s="170"/>
      <c r="L56" s="170"/>
      <c r="M56" s="170"/>
    </row>
    <row r="57" spans="1:13">
      <c r="A57" s="170"/>
      <c r="B57" s="170"/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</row>
    <row r="58" spans="1:13">
      <c r="A58" s="170"/>
      <c r="B58" s="170"/>
      <c r="C58" s="170"/>
      <c r="D58" s="170"/>
      <c r="E58" s="170"/>
      <c r="F58" s="170"/>
      <c r="G58" s="170"/>
      <c r="H58" s="170"/>
      <c r="I58" s="170"/>
      <c r="J58" s="170"/>
      <c r="K58" s="170"/>
      <c r="L58" s="170"/>
      <c r="M58" s="170"/>
    </row>
    <row r="59" spans="1:13">
      <c r="A59" s="170"/>
      <c r="B59" s="170"/>
      <c r="C59" s="170"/>
      <c r="D59" s="170"/>
      <c r="E59" s="170"/>
      <c r="F59" s="170"/>
      <c r="G59" s="170"/>
      <c r="H59" s="170"/>
      <c r="I59" s="170"/>
      <c r="J59" s="170"/>
      <c r="K59" s="170"/>
      <c r="L59" s="170"/>
      <c r="M59" s="170"/>
    </row>
    <row r="60" spans="1:13">
      <c r="A60" s="170"/>
      <c r="B60" s="170"/>
      <c r="C60" s="170"/>
      <c r="D60" s="170"/>
      <c r="E60" s="170"/>
      <c r="F60" s="170"/>
      <c r="G60" s="170"/>
      <c r="H60" s="170"/>
      <c r="I60" s="170"/>
      <c r="J60" s="170"/>
      <c r="K60" s="170"/>
      <c r="L60" s="170"/>
      <c r="M60" s="170"/>
    </row>
    <row r="61" spans="1:13">
      <c r="A61" s="170"/>
      <c r="B61" s="170"/>
      <c r="C61" s="170"/>
      <c r="D61" s="170"/>
      <c r="E61" s="170"/>
      <c r="F61" s="170"/>
      <c r="G61" s="170"/>
      <c r="H61" s="170"/>
      <c r="I61" s="170"/>
      <c r="J61" s="170"/>
      <c r="K61" s="170"/>
      <c r="L61" s="170"/>
      <c r="M61" s="170"/>
    </row>
    <row r="62" spans="1:13">
      <c r="A62" s="170"/>
      <c r="B62" s="170"/>
      <c r="C62" s="170"/>
      <c r="D62" s="170"/>
      <c r="E62" s="170"/>
      <c r="F62" s="170"/>
      <c r="G62" s="170"/>
      <c r="H62" s="170"/>
      <c r="I62" s="170"/>
      <c r="J62" s="170"/>
      <c r="K62" s="170"/>
      <c r="L62" s="170"/>
      <c r="M62" s="170"/>
    </row>
    <row r="63" spans="1:13">
      <c r="A63" s="170"/>
      <c r="B63" s="170"/>
      <c r="C63" s="170"/>
      <c r="D63" s="170"/>
      <c r="E63" s="170"/>
      <c r="F63" s="170"/>
      <c r="G63" s="170"/>
      <c r="H63" s="170"/>
      <c r="I63" s="170"/>
      <c r="J63" s="170"/>
      <c r="K63" s="170"/>
      <c r="L63" s="170"/>
      <c r="M63" s="170"/>
    </row>
    <row r="64" spans="1:13">
      <c r="A64" s="170"/>
      <c r="B64" s="170"/>
      <c r="C64" s="170"/>
      <c r="D64" s="170"/>
      <c r="E64" s="170"/>
      <c r="F64" s="170"/>
      <c r="G64" s="170"/>
      <c r="H64" s="170"/>
      <c r="I64" s="170"/>
      <c r="J64" s="170"/>
      <c r="K64" s="170"/>
      <c r="L64" s="170"/>
      <c r="M64" s="170"/>
    </row>
    <row r="65" spans="1:13">
      <c r="A65" s="170"/>
      <c r="B65" s="170"/>
      <c r="C65" s="170"/>
      <c r="D65" s="170"/>
      <c r="E65" s="170"/>
      <c r="F65" s="170"/>
      <c r="G65" s="170"/>
      <c r="H65" s="170"/>
      <c r="I65" s="170"/>
      <c r="J65" s="170"/>
      <c r="K65" s="170"/>
      <c r="L65" s="170"/>
      <c r="M65" s="170"/>
    </row>
    <row r="66" spans="1:13">
      <c r="A66" s="170"/>
      <c r="B66" s="170"/>
      <c r="C66" s="170"/>
      <c r="D66" s="170"/>
      <c r="E66" s="170"/>
      <c r="F66" s="170"/>
      <c r="G66" s="170"/>
      <c r="H66" s="170"/>
      <c r="I66" s="170"/>
      <c r="J66" s="170"/>
      <c r="K66" s="170"/>
      <c r="L66" s="170"/>
      <c r="M66" s="170"/>
    </row>
    <row r="67" spans="1:13">
      <c r="A67" s="170"/>
      <c r="B67" s="170"/>
      <c r="C67" s="170"/>
      <c r="D67" s="170"/>
      <c r="E67" s="170"/>
      <c r="F67" s="170"/>
      <c r="G67" s="170"/>
      <c r="H67" s="170"/>
      <c r="I67" s="170"/>
      <c r="J67" s="170"/>
      <c r="K67" s="170"/>
      <c r="L67" s="170"/>
      <c r="M67" s="170"/>
    </row>
    <row r="68" spans="1:13">
      <c r="A68" s="170"/>
      <c r="B68" s="170"/>
      <c r="C68" s="170"/>
      <c r="D68" s="170"/>
      <c r="E68" s="170"/>
      <c r="F68" s="170"/>
      <c r="G68" s="170"/>
      <c r="H68" s="170"/>
      <c r="I68" s="170"/>
      <c r="J68" s="170"/>
      <c r="K68" s="170"/>
      <c r="L68" s="170"/>
      <c r="M68" s="170"/>
    </row>
    <row r="69" spans="1:13">
      <c r="A69" s="170"/>
      <c r="B69" s="170"/>
      <c r="C69" s="170"/>
      <c r="D69" s="170"/>
      <c r="E69" s="170"/>
      <c r="F69" s="170"/>
      <c r="G69" s="170"/>
      <c r="H69" s="170"/>
      <c r="I69" s="170"/>
      <c r="J69" s="170"/>
      <c r="K69" s="170"/>
      <c r="L69" s="170"/>
      <c r="M69" s="170"/>
    </row>
    <row r="70" spans="1:13">
      <c r="A70" s="170"/>
      <c r="B70" s="170"/>
      <c r="C70" s="170"/>
      <c r="D70" s="170"/>
      <c r="E70" s="170"/>
      <c r="F70" s="170"/>
      <c r="G70" s="170"/>
      <c r="H70" s="170"/>
      <c r="I70" s="170"/>
      <c r="J70" s="170"/>
      <c r="K70" s="170"/>
      <c r="L70" s="170"/>
      <c r="M70" s="170"/>
    </row>
    <row r="71" spans="1:13">
      <c r="A71" s="170"/>
      <c r="B71" s="170"/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</row>
    <row r="72" spans="1:13">
      <c r="A72" s="170"/>
      <c r="B72" s="170"/>
      <c r="C72" s="170"/>
      <c r="D72" s="170"/>
      <c r="E72" s="170"/>
      <c r="F72" s="170"/>
      <c r="G72" s="170"/>
      <c r="H72" s="170"/>
      <c r="I72" s="170"/>
      <c r="J72" s="170"/>
      <c r="K72" s="170"/>
      <c r="L72" s="170"/>
      <c r="M72" s="170"/>
    </row>
    <row r="73" spans="1:13">
      <c r="A73" s="170"/>
      <c r="B73" s="170"/>
      <c r="C73" s="170"/>
      <c r="D73" s="170"/>
      <c r="E73" s="170"/>
      <c r="F73" s="170"/>
      <c r="G73" s="170"/>
      <c r="H73" s="170"/>
      <c r="I73" s="170"/>
      <c r="J73" s="170"/>
      <c r="K73" s="170"/>
      <c r="L73" s="170"/>
      <c r="M73" s="170"/>
    </row>
    <row r="74" spans="1:13">
      <c r="A74" s="170"/>
      <c r="B74" s="170"/>
      <c r="C74" s="170"/>
      <c r="D74" s="170"/>
      <c r="E74" s="170"/>
      <c r="F74" s="170"/>
      <c r="G74" s="170"/>
      <c r="H74" s="170"/>
      <c r="I74" s="170"/>
      <c r="J74" s="170"/>
      <c r="K74" s="170"/>
      <c r="L74" s="170"/>
      <c r="M74" s="170"/>
    </row>
    <row r="75" spans="1:13">
      <c r="A75" s="170"/>
      <c r="B75" s="170"/>
      <c r="C75" s="170"/>
      <c r="D75" s="170"/>
      <c r="E75" s="170"/>
      <c r="F75" s="170"/>
      <c r="G75" s="170"/>
      <c r="H75" s="170"/>
      <c r="I75" s="170"/>
      <c r="J75" s="170"/>
      <c r="K75" s="170"/>
      <c r="L75" s="170"/>
      <c r="M75" s="170"/>
    </row>
    <row r="76" spans="1:13">
      <c r="A76" s="170"/>
      <c r="B76" s="170"/>
      <c r="C76" s="170"/>
      <c r="D76" s="170"/>
      <c r="E76" s="170"/>
      <c r="F76" s="170"/>
      <c r="G76" s="170"/>
      <c r="H76" s="170"/>
      <c r="I76" s="170"/>
      <c r="J76" s="170"/>
      <c r="K76" s="170"/>
      <c r="L76" s="170"/>
      <c r="M76" s="170"/>
    </row>
    <row r="77" spans="1:13">
      <c r="A77" s="170"/>
      <c r="B77" s="170"/>
      <c r="C77" s="170"/>
      <c r="D77" s="170"/>
      <c r="E77" s="170"/>
      <c r="F77" s="170"/>
      <c r="G77" s="170"/>
      <c r="H77" s="170"/>
      <c r="I77" s="170"/>
      <c r="J77" s="170"/>
      <c r="K77" s="170"/>
      <c r="L77" s="170"/>
      <c r="M77" s="170"/>
    </row>
    <row r="78" spans="1:13">
      <c r="A78" s="170"/>
      <c r="B78" s="170"/>
      <c r="C78" s="170"/>
      <c r="D78" s="170"/>
      <c r="E78" s="170"/>
      <c r="F78" s="170"/>
      <c r="G78" s="170"/>
      <c r="H78" s="170"/>
      <c r="I78" s="170"/>
      <c r="J78" s="170"/>
      <c r="K78" s="170"/>
      <c r="L78" s="170"/>
      <c r="M78" s="170"/>
    </row>
    <row r="79" spans="1:13">
      <c r="A79" s="170"/>
      <c r="B79" s="170"/>
      <c r="C79" s="170"/>
      <c r="D79" s="170"/>
      <c r="E79" s="170"/>
      <c r="F79" s="170"/>
      <c r="G79" s="170"/>
      <c r="H79" s="170"/>
      <c r="I79" s="170"/>
      <c r="J79" s="170"/>
      <c r="K79" s="170"/>
      <c r="L79" s="170"/>
      <c r="M79" s="170"/>
    </row>
    <row r="80" spans="1:13">
      <c r="A80" s="170"/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</row>
    <row r="81" spans="1:13">
      <c r="A81" s="170"/>
      <c r="B81" s="170"/>
      <c r="C81" s="170"/>
      <c r="D81" s="170"/>
      <c r="E81" s="170"/>
      <c r="F81" s="170"/>
      <c r="G81" s="170"/>
      <c r="H81" s="170"/>
      <c r="I81" s="170"/>
      <c r="J81" s="170"/>
      <c r="K81" s="170"/>
      <c r="L81" s="170"/>
      <c r="M81" s="170"/>
    </row>
    <row r="82" spans="1:13">
      <c r="A82" s="170"/>
      <c r="B82" s="170"/>
      <c r="C82" s="170"/>
      <c r="D82" s="170"/>
      <c r="E82" s="170"/>
      <c r="F82" s="170"/>
      <c r="G82" s="170"/>
      <c r="H82" s="170"/>
      <c r="I82" s="170"/>
      <c r="J82" s="170"/>
      <c r="K82" s="170"/>
      <c r="L82" s="170"/>
      <c r="M82" s="170"/>
    </row>
    <row r="83" spans="1:13">
      <c r="A83" s="170"/>
      <c r="B83" s="170"/>
      <c r="C83" s="170"/>
      <c r="D83" s="170"/>
      <c r="E83" s="170"/>
      <c r="F83" s="170"/>
      <c r="G83" s="170"/>
      <c r="H83" s="170"/>
      <c r="I83" s="170"/>
      <c r="J83" s="170"/>
      <c r="K83" s="170"/>
      <c r="L83" s="170"/>
      <c r="M83" s="170"/>
    </row>
    <row r="84" spans="1:13">
      <c r="A84" s="170"/>
      <c r="B84" s="170"/>
      <c r="C84" s="170"/>
      <c r="D84" s="170"/>
      <c r="E84" s="170"/>
      <c r="F84" s="170"/>
      <c r="G84" s="170"/>
      <c r="H84" s="170"/>
      <c r="I84" s="170"/>
      <c r="J84" s="170"/>
      <c r="K84" s="170"/>
      <c r="L84" s="170"/>
      <c r="M84" s="17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3:M51"/>
  <sheetViews>
    <sheetView topLeftCell="A13" workbookViewId="0">
      <selection activeCell="A3" sqref="A3:M68"/>
    </sheetView>
  </sheetViews>
  <sheetFormatPr defaultRowHeight="15"/>
  <sheetData>
    <row r="3" spans="1:13">
      <c r="A3" s="1" t="s">
        <v>0</v>
      </c>
      <c r="B3" s="1" t="s">
        <v>428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1"/>
      <c r="B4" s="1" t="s">
        <v>429</v>
      </c>
      <c r="C4" s="1"/>
      <c r="D4" s="1"/>
      <c r="E4" s="1" t="s">
        <v>118</v>
      </c>
      <c r="F4" s="1"/>
      <c r="G4" s="1"/>
      <c r="H4" s="1"/>
      <c r="I4" s="1"/>
      <c r="J4" s="1"/>
      <c r="K4" s="1"/>
      <c r="L4" s="1"/>
      <c r="M4" s="1"/>
    </row>
    <row r="5" spans="1:1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>
      <c r="A6" s="15" t="s">
        <v>4</v>
      </c>
      <c r="B6" s="15"/>
      <c r="C6" s="15"/>
      <c r="D6" s="38" t="s">
        <v>5</v>
      </c>
      <c r="E6" s="38" t="s">
        <v>6</v>
      </c>
      <c r="F6" s="38" t="s">
        <v>7</v>
      </c>
      <c r="G6" s="38" t="s">
        <v>8</v>
      </c>
      <c r="H6" s="38" t="s">
        <v>9</v>
      </c>
      <c r="I6" s="38" t="s">
        <v>10</v>
      </c>
      <c r="J6" s="38" t="s">
        <v>11</v>
      </c>
      <c r="K6" s="38" t="s">
        <v>12</v>
      </c>
      <c r="L6" s="2" t="s">
        <v>82</v>
      </c>
      <c r="M6" s="38"/>
    </row>
    <row r="7" spans="1:13">
      <c r="A7" s="27"/>
      <c r="B7" s="27"/>
      <c r="C7" s="27"/>
      <c r="D7" s="32" t="s">
        <v>14</v>
      </c>
      <c r="E7" s="32" t="s">
        <v>15</v>
      </c>
      <c r="F7" s="32" t="s">
        <v>15</v>
      </c>
      <c r="G7" s="32" t="s">
        <v>16</v>
      </c>
      <c r="H7" s="32" t="s">
        <v>17</v>
      </c>
      <c r="I7" s="32" t="s">
        <v>18</v>
      </c>
      <c r="J7" s="32" t="s">
        <v>17</v>
      </c>
      <c r="K7" s="32" t="s">
        <v>17</v>
      </c>
      <c r="L7" s="3" t="s">
        <v>10</v>
      </c>
      <c r="M7" s="32" t="s">
        <v>11</v>
      </c>
    </row>
    <row r="8" spans="1:13">
      <c r="A8" s="27"/>
      <c r="B8" s="27"/>
      <c r="C8" s="27"/>
      <c r="D8" s="32" t="s">
        <v>21</v>
      </c>
      <c r="E8" s="32"/>
      <c r="F8" s="32"/>
      <c r="G8" s="32"/>
      <c r="H8" s="32" t="s">
        <v>22</v>
      </c>
      <c r="I8" s="32" t="s">
        <v>17</v>
      </c>
      <c r="J8" s="32" t="s">
        <v>22</v>
      </c>
      <c r="K8" s="32" t="s">
        <v>22</v>
      </c>
      <c r="L8" s="32"/>
      <c r="M8" s="32"/>
    </row>
    <row r="9" spans="1:13">
      <c r="A9" s="18"/>
      <c r="B9" s="18"/>
      <c r="C9" s="18"/>
      <c r="D9" s="39"/>
      <c r="E9" s="39"/>
      <c r="F9" s="39"/>
      <c r="G9" s="39"/>
      <c r="H9" s="39"/>
      <c r="I9" s="39" t="s">
        <v>22</v>
      </c>
      <c r="J9" s="39"/>
      <c r="K9" s="39"/>
      <c r="L9" s="39"/>
      <c r="M9" s="39"/>
    </row>
    <row r="10" spans="1:13">
      <c r="A10" s="27" t="s">
        <v>94</v>
      </c>
      <c r="B10" s="27"/>
      <c r="C10" s="27"/>
      <c r="D10" s="167" t="s">
        <v>174</v>
      </c>
      <c r="E10" s="167" t="s">
        <v>430</v>
      </c>
      <c r="F10" s="167" t="s">
        <v>430</v>
      </c>
      <c r="G10" s="167"/>
      <c r="H10" s="167" t="s">
        <v>431</v>
      </c>
      <c r="I10" s="32"/>
      <c r="J10" s="32"/>
      <c r="K10" s="32"/>
      <c r="L10" s="32"/>
      <c r="M10" s="32"/>
    </row>
    <row r="11" spans="1:13">
      <c r="A11" s="27" t="s">
        <v>244</v>
      </c>
      <c r="B11" s="27"/>
      <c r="C11" s="27"/>
      <c r="D11" s="32">
        <v>77</v>
      </c>
      <c r="E11" s="41">
        <v>0.5</v>
      </c>
      <c r="F11" s="41">
        <v>0.5</v>
      </c>
      <c r="G11" s="41">
        <v>1500</v>
      </c>
      <c r="H11" s="41">
        <v>750</v>
      </c>
      <c r="I11" s="41">
        <v>7829</v>
      </c>
      <c r="J11" s="32"/>
      <c r="K11" s="41">
        <f>SUM(H11:J11)</f>
        <v>8579</v>
      </c>
      <c r="L11" s="171">
        <v>259</v>
      </c>
      <c r="M11" s="32"/>
    </row>
    <row r="12" spans="1:13">
      <c r="A12" s="27" t="s">
        <v>432</v>
      </c>
      <c r="B12" s="27"/>
      <c r="C12" s="27"/>
      <c r="D12" s="167" t="s">
        <v>433</v>
      </c>
      <c r="E12" s="32"/>
      <c r="F12" s="32"/>
      <c r="G12" s="32"/>
      <c r="H12" s="306"/>
      <c r="I12" s="32"/>
      <c r="J12" s="32"/>
      <c r="K12" s="41"/>
      <c r="L12" s="32"/>
      <c r="M12" s="32"/>
    </row>
    <row r="13" spans="1:13">
      <c r="A13" s="1" t="s">
        <v>119</v>
      </c>
      <c r="B13" s="1"/>
      <c r="C13" s="1"/>
      <c r="D13" s="65" t="s">
        <v>434</v>
      </c>
      <c r="E13" s="13" t="s">
        <v>420</v>
      </c>
      <c r="F13" s="13" t="s">
        <v>420</v>
      </c>
      <c r="G13" s="10" t="s">
        <v>84</v>
      </c>
      <c r="H13" s="307" t="s">
        <v>435</v>
      </c>
      <c r="I13" s="13" t="s">
        <v>33</v>
      </c>
      <c r="J13" s="7"/>
      <c r="K13" s="41"/>
      <c r="L13" s="1"/>
      <c r="M13" s="1"/>
    </row>
    <row r="14" spans="1:13">
      <c r="A14" s="12" t="s">
        <v>34</v>
      </c>
      <c r="B14" s="1"/>
      <c r="C14" s="1"/>
      <c r="D14" s="65">
        <v>100</v>
      </c>
      <c r="E14" s="68">
        <v>14.3</v>
      </c>
      <c r="F14" s="68">
        <v>1.8</v>
      </c>
      <c r="G14" s="67">
        <v>1372</v>
      </c>
      <c r="H14" s="41">
        <v>19620</v>
      </c>
      <c r="I14" s="48"/>
      <c r="J14" s="7"/>
      <c r="K14" s="41">
        <f t="shared" ref="K14:K21" si="0">SUM(H14:J14)</f>
        <v>19620</v>
      </c>
      <c r="L14" s="7"/>
      <c r="M14" s="1"/>
    </row>
    <row r="15" spans="1:13">
      <c r="A15" s="12" t="s">
        <v>436</v>
      </c>
      <c r="B15" s="1"/>
      <c r="C15" s="1"/>
      <c r="D15" s="65">
        <v>100</v>
      </c>
      <c r="E15" s="13">
        <v>15.9</v>
      </c>
      <c r="F15" s="13">
        <v>3.7</v>
      </c>
      <c r="G15" s="6">
        <v>994</v>
      </c>
      <c r="H15" s="41">
        <v>15805</v>
      </c>
      <c r="I15" s="1"/>
      <c r="J15" s="7"/>
      <c r="K15" s="41">
        <f t="shared" si="0"/>
        <v>15805</v>
      </c>
      <c r="L15" s="1"/>
      <c r="M15" s="7"/>
    </row>
    <row r="16" spans="1:13">
      <c r="A16" s="12" t="s">
        <v>437</v>
      </c>
      <c r="B16" s="1"/>
      <c r="C16" s="1"/>
      <c r="D16" s="65">
        <v>100</v>
      </c>
      <c r="E16" s="13">
        <v>2.4</v>
      </c>
      <c r="F16" s="13">
        <v>1.6</v>
      </c>
      <c r="G16" s="10">
        <v>1246</v>
      </c>
      <c r="H16" s="41">
        <v>2990</v>
      </c>
      <c r="I16" s="12"/>
      <c r="J16" s="7">
        <f>+G39*E39+G40*E40</f>
        <v>4050</v>
      </c>
      <c r="K16" s="41">
        <f t="shared" si="0"/>
        <v>7040</v>
      </c>
      <c r="L16" s="11"/>
      <c r="M16" s="7"/>
    </row>
    <row r="17" spans="1:13">
      <c r="A17" s="12" t="s">
        <v>438</v>
      </c>
      <c r="B17" s="1"/>
      <c r="C17" s="1"/>
      <c r="D17" s="65" t="s">
        <v>174</v>
      </c>
      <c r="E17" s="13" t="s">
        <v>439</v>
      </c>
      <c r="F17" s="13" t="s">
        <v>440</v>
      </c>
      <c r="G17" s="10" t="s">
        <v>441</v>
      </c>
      <c r="H17" s="289" t="s">
        <v>442</v>
      </c>
      <c r="I17" s="12"/>
      <c r="J17" s="7"/>
      <c r="K17" s="41"/>
      <c r="L17" s="1"/>
      <c r="M17" s="1"/>
    </row>
    <row r="18" spans="1:13">
      <c r="A18" s="12" t="s">
        <v>201</v>
      </c>
      <c r="B18" s="1"/>
      <c r="C18" s="1"/>
      <c r="D18" s="65">
        <v>93</v>
      </c>
      <c r="E18" s="13">
        <v>1.1000000000000001</v>
      </c>
      <c r="F18" s="13">
        <v>0.9</v>
      </c>
      <c r="G18" s="10">
        <v>1250</v>
      </c>
      <c r="H18" s="41">
        <v>1375</v>
      </c>
      <c r="I18" s="12"/>
      <c r="J18" s="42">
        <v>4027</v>
      </c>
      <c r="K18" s="41">
        <f t="shared" si="0"/>
        <v>5402</v>
      </c>
      <c r="L18" s="1"/>
      <c r="M18" s="1"/>
    </row>
    <row r="19" spans="1:13">
      <c r="A19" s="12" t="s">
        <v>134</v>
      </c>
      <c r="B19" s="1"/>
      <c r="C19" s="1"/>
      <c r="D19" s="65">
        <v>100</v>
      </c>
      <c r="E19" s="13">
        <v>3</v>
      </c>
      <c r="F19" s="13">
        <v>2.2000000000000002</v>
      </c>
      <c r="G19" s="10">
        <v>1487</v>
      </c>
      <c r="H19" s="41">
        <v>4461</v>
      </c>
      <c r="I19" s="12"/>
      <c r="J19" s="42">
        <v>6142</v>
      </c>
      <c r="K19" s="41">
        <f t="shared" si="0"/>
        <v>10603</v>
      </c>
      <c r="L19" s="1"/>
      <c r="M19" s="1"/>
    </row>
    <row r="20" spans="1:13">
      <c r="A20" s="12" t="s">
        <v>331</v>
      </c>
      <c r="B20" s="1"/>
      <c r="C20" s="1"/>
      <c r="D20" s="65">
        <v>100</v>
      </c>
      <c r="E20" s="13">
        <v>6.4</v>
      </c>
      <c r="F20" s="13">
        <v>6.4</v>
      </c>
      <c r="G20" s="10">
        <v>1250</v>
      </c>
      <c r="H20" s="41">
        <v>8000</v>
      </c>
      <c r="I20" s="12"/>
      <c r="J20" s="7"/>
      <c r="K20" s="41">
        <f t="shared" si="0"/>
        <v>8000</v>
      </c>
      <c r="L20" s="1"/>
      <c r="M20" s="1"/>
    </row>
    <row r="21" spans="1:13">
      <c r="A21" s="12" t="s">
        <v>443</v>
      </c>
      <c r="B21" s="1"/>
      <c r="C21" s="1"/>
      <c r="D21" s="65">
        <v>100</v>
      </c>
      <c r="E21" s="13">
        <v>33.200000000000003</v>
      </c>
      <c r="F21" s="13">
        <v>8.3000000000000007</v>
      </c>
      <c r="G21" s="10">
        <v>1250</v>
      </c>
      <c r="H21" s="41">
        <v>41500</v>
      </c>
      <c r="I21" s="12"/>
      <c r="J21" s="7"/>
      <c r="K21" s="41">
        <f t="shared" si="0"/>
        <v>41500</v>
      </c>
      <c r="L21" s="1"/>
      <c r="M21" s="1"/>
    </row>
    <row r="22" spans="1:13">
      <c r="A22" s="15" t="s">
        <v>43</v>
      </c>
      <c r="B22" s="15"/>
      <c r="C22" s="15"/>
      <c r="D22" s="16"/>
      <c r="E22" s="17">
        <f>SUM(E13:E21)</f>
        <v>76.300000000000011</v>
      </c>
      <c r="F22" s="17">
        <f>SUM(F13:F21)</f>
        <v>24.900000000000002</v>
      </c>
      <c r="G22" s="17"/>
      <c r="H22" s="17">
        <f>SUM(H10:H21)</f>
        <v>94501</v>
      </c>
      <c r="I22" s="17">
        <f t="shared" ref="I22:M22" si="1">SUM(I10:I21)</f>
        <v>7829</v>
      </c>
      <c r="J22" s="17">
        <f t="shared" si="1"/>
        <v>14219</v>
      </c>
      <c r="K22" s="17">
        <f t="shared" si="1"/>
        <v>116549</v>
      </c>
      <c r="L22" s="69">
        <f t="shared" si="1"/>
        <v>259</v>
      </c>
      <c r="M22" s="69">
        <f t="shared" si="1"/>
        <v>0</v>
      </c>
    </row>
    <row r="23" spans="1:13">
      <c r="A23" s="18" t="s">
        <v>44</v>
      </c>
      <c r="B23" s="18"/>
      <c r="C23" s="18"/>
      <c r="D23" s="19"/>
      <c r="E23" s="20">
        <f>SUM(E22-F22)</f>
        <v>51.400000000000006</v>
      </c>
      <c r="F23" s="20"/>
      <c r="G23" s="20"/>
      <c r="H23" s="20">
        <f>+G34*E34</f>
        <v>63393</v>
      </c>
      <c r="I23" s="20">
        <f>I22-L22</f>
        <v>7570</v>
      </c>
      <c r="J23" s="20">
        <f>J22-M22</f>
        <v>14219</v>
      </c>
      <c r="K23" s="20">
        <f>SUM(H23:J23)</f>
        <v>85182</v>
      </c>
      <c r="L23" s="18"/>
      <c r="M23" s="18"/>
    </row>
    <row r="24" spans="1:1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>
      <c r="A25" s="1"/>
      <c r="B25" s="1"/>
      <c r="C25" s="1" t="s">
        <v>45</v>
      </c>
      <c r="D25" s="1"/>
      <c r="E25" s="1"/>
      <c r="F25" s="11"/>
      <c r="G25" s="1"/>
      <c r="H25" s="1"/>
      <c r="I25" s="7"/>
      <c r="J25" s="7"/>
      <c r="K25" s="7"/>
      <c r="L25" s="1"/>
      <c r="M25" s="1"/>
    </row>
    <row r="26" spans="1:13">
      <c r="A26" s="1"/>
      <c r="B26" s="1"/>
      <c r="C26" s="1"/>
      <c r="D26" s="1"/>
      <c r="E26" s="1"/>
      <c r="F26" s="1"/>
      <c r="G26" s="1"/>
      <c r="H26" s="11"/>
      <c r="I26" s="11"/>
      <c r="J26" s="1"/>
      <c r="K26" s="1"/>
      <c r="L26" s="1"/>
      <c r="M26" s="1"/>
    </row>
    <row r="27" spans="1:13">
      <c r="A27" s="1" t="s">
        <v>46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A28" s="22" t="s">
        <v>47</v>
      </c>
      <c r="B28" s="22"/>
      <c r="C28" s="22"/>
      <c r="D28" s="22" t="s">
        <v>48</v>
      </c>
      <c r="E28" s="22" t="s">
        <v>49</v>
      </c>
      <c r="F28" s="22"/>
      <c r="G28" s="22" t="s">
        <v>89</v>
      </c>
      <c r="H28" s="1"/>
      <c r="I28" s="1"/>
      <c r="J28" s="1"/>
      <c r="K28" s="45"/>
      <c r="L28" s="1"/>
      <c r="M28" s="1"/>
    </row>
    <row r="29" spans="1:13">
      <c r="A29" s="1" t="s">
        <v>53</v>
      </c>
      <c r="B29" s="1"/>
      <c r="C29" s="1"/>
      <c r="D29" s="1"/>
      <c r="E29" s="1"/>
      <c r="F29" s="1"/>
      <c r="G29" s="1"/>
      <c r="H29" s="1"/>
      <c r="I29" s="1"/>
      <c r="K29" s="59" t="s">
        <v>51</v>
      </c>
      <c r="L29" s="308" t="s">
        <v>52</v>
      </c>
      <c r="M29" s="1"/>
    </row>
    <row r="30" spans="1:13">
      <c r="A30" s="1" t="s">
        <v>444</v>
      </c>
      <c r="B30" s="1"/>
      <c r="C30" s="1"/>
      <c r="D30" s="309" t="s">
        <v>66</v>
      </c>
      <c r="E30" s="7">
        <v>1119</v>
      </c>
      <c r="F30" s="7"/>
      <c r="G30" s="7"/>
      <c r="H30" s="1"/>
      <c r="I30" s="1"/>
      <c r="K30" s="172" t="s">
        <v>445</v>
      </c>
      <c r="L30" s="285">
        <v>100</v>
      </c>
      <c r="M30" s="1"/>
    </row>
    <row r="31" spans="1:13">
      <c r="A31" s="1"/>
      <c r="B31" s="1"/>
      <c r="C31" s="1"/>
      <c r="D31" s="1"/>
      <c r="E31" s="1"/>
      <c r="F31" s="1"/>
      <c r="G31" s="1"/>
      <c r="H31" s="1"/>
      <c r="I31" s="1"/>
      <c r="K31" s="49"/>
      <c r="L31" s="70"/>
      <c r="M31" s="1"/>
    </row>
    <row r="32" spans="1:1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>
      <c r="A33" s="1" t="s">
        <v>57</v>
      </c>
      <c r="B33" s="1"/>
      <c r="C33" s="1"/>
      <c r="D33" s="1"/>
      <c r="E33" s="1"/>
      <c r="F33" s="1"/>
      <c r="G33" s="1"/>
      <c r="H33" s="1"/>
      <c r="I33" s="1"/>
      <c r="K33" s="46" t="s">
        <v>60</v>
      </c>
      <c r="L33" s="71">
        <v>1.38</v>
      </c>
      <c r="M33" s="1"/>
    </row>
    <row r="34" spans="1:13">
      <c r="A34" s="1" t="s">
        <v>58</v>
      </c>
      <c r="B34" s="1"/>
      <c r="C34" s="1"/>
      <c r="D34" s="29" t="s">
        <v>59</v>
      </c>
      <c r="E34" s="7">
        <v>51</v>
      </c>
      <c r="F34" s="1"/>
      <c r="G34" s="42">
        <v>1243</v>
      </c>
      <c r="H34" s="1"/>
      <c r="I34" s="1"/>
      <c r="K34" s="49" t="s">
        <v>62</v>
      </c>
      <c r="L34" s="72">
        <v>1</v>
      </c>
      <c r="M34" s="1"/>
    </row>
    <row r="35" spans="1:13">
      <c r="A35" s="1" t="s">
        <v>61</v>
      </c>
      <c r="B35" s="1"/>
      <c r="C35" s="1"/>
      <c r="D35" s="29" t="s">
        <v>59</v>
      </c>
      <c r="E35" s="7">
        <v>25</v>
      </c>
      <c r="F35" s="1"/>
      <c r="G35" s="1"/>
      <c r="H35" s="1"/>
      <c r="I35" s="1"/>
      <c r="J35" s="1"/>
      <c r="K35" s="1"/>
      <c r="L35" s="1"/>
      <c r="M35" s="1"/>
    </row>
    <row r="36" spans="1:13">
      <c r="A36" s="1" t="s">
        <v>6</v>
      </c>
      <c r="B36" s="1"/>
      <c r="C36" s="1"/>
      <c r="D36" s="1"/>
      <c r="E36" s="7">
        <f>+E35+E34</f>
        <v>76</v>
      </c>
      <c r="F36" s="1"/>
      <c r="G36" s="1"/>
      <c r="H36" s="1"/>
      <c r="I36" s="1"/>
      <c r="J36" s="1"/>
      <c r="K36" s="29"/>
      <c r="L36" s="1"/>
      <c r="M36" s="1"/>
    </row>
    <row r="37" spans="1:13">
      <c r="A37" s="1"/>
      <c r="B37" s="1"/>
      <c r="C37" s="1" t="s">
        <v>52</v>
      </c>
      <c r="D37" s="1"/>
      <c r="E37" s="7"/>
      <c r="F37" s="1"/>
      <c r="G37" s="1"/>
      <c r="H37" s="1"/>
      <c r="I37" s="1"/>
      <c r="J37" s="1"/>
      <c r="K37" s="29"/>
      <c r="L37" s="1"/>
      <c r="M37" s="1"/>
    </row>
    <row r="38" spans="1:13">
      <c r="A38" s="1" t="s">
        <v>395</v>
      </c>
      <c r="B38" s="1"/>
      <c r="C38" s="1"/>
      <c r="D38" s="1"/>
      <c r="E38" s="7"/>
      <c r="F38" s="1"/>
      <c r="G38" s="1"/>
      <c r="H38" s="1"/>
      <c r="I38" s="1"/>
      <c r="J38" s="1"/>
      <c r="K38" s="29"/>
      <c r="L38" s="1"/>
      <c r="M38" s="1"/>
    </row>
    <row r="39" spans="1:13">
      <c r="A39" s="1" t="s">
        <v>65</v>
      </c>
      <c r="B39" s="1"/>
      <c r="C39" s="1">
        <v>60</v>
      </c>
      <c r="D39" s="29" t="s">
        <v>66</v>
      </c>
      <c r="E39" s="7">
        <v>68</v>
      </c>
      <c r="F39" s="1"/>
      <c r="G39" s="7">
        <v>25</v>
      </c>
      <c r="H39" s="1"/>
      <c r="I39" s="1"/>
      <c r="J39" s="1"/>
      <c r="K39" s="29"/>
      <c r="L39" s="1"/>
      <c r="M39" s="1"/>
    </row>
    <row r="40" spans="1:13">
      <c r="A40" s="1" t="s">
        <v>414</v>
      </c>
      <c r="B40" s="1"/>
      <c r="C40" s="1">
        <v>67</v>
      </c>
      <c r="D40" s="29" t="s">
        <v>66</v>
      </c>
      <c r="E40" s="7">
        <v>94</v>
      </c>
      <c r="F40" s="1"/>
      <c r="G40" s="7">
        <v>25</v>
      </c>
      <c r="H40" s="1"/>
      <c r="I40" s="1"/>
      <c r="J40" s="1"/>
      <c r="K40" s="29"/>
      <c r="L40" s="1"/>
      <c r="M40" s="1"/>
    </row>
    <row r="41" spans="1:13">
      <c r="A41" s="1"/>
      <c r="B41" s="1"/>
      <c r="C41" s="1"/>
      <c r="D41" s="29"/>
      <c r="E41" s="1"/>
      <c r="F41" s="1"/>
      <c r="G41" s="1"/>
      <c r="H41" s="1"/>
      <c r="I41" s="1"/>
      <c r="J41" s="1"/>
      <c r="K41" s="1"/>
      <c r="L41" s="1"/>
      <c r="M41" s="1"/>
    </row>
    <row r="42" spans="1:13">
      <c r="A42" s="15" t="s">
        <v>70</v>
      </c>
      <c r="B42" s="15"/>
      <c r="C42" s="15"/>
      <c r="D42" s="15"/>
      <c r="E42" s="15"/>
      <c r="F42" s="15"/>
      <c r="G42" s="15"/>
      <c r="H42" s="1"/>
      <c r="I42" s="1"/>
      <c r="J42" s="1" t="s">
        <v>71</v>
      </c>
      <c r="K42" s="1"/>
      <c r="L42" s="1"/>
      <c r="M42" s="1"/>
    </row>
    <row r="43" spans="1:13">
      <c r="A43" s="27" t="s">
        <v>72</v>
      </c>
      <c r="B43" s="27"/>
      <c r="C43" s="27"/>
      <c r="D43" s="27"/>
      <c r="E43" s="27"/>
      <c r="F43" s="27"/>
      <c r="G43" s="55">
        <v>7680</v>
      </c>
      <c r="H43" s="1"/>
      <c r="I43" s="1"/>
      <c r="J43" s="7">
        <v>18977</v>
      </c>
      <c r="K43" s="11"/>
      <c r="L43" s="1"/>
      <c r="M43" s="1"/>
    </row>
    <row r="44" spans="1:13">
      <c r="A44" s="27" t="s">
        <v>74</v>
      </c>
      <c r="B44" s="27"/>
      <c r="C44" s="27"/>
      <c r="D44" s="27"/>
      <c r="E44" s="27"/>
      <c r="F44" s="27"/>
      <c r="G44" s="56">
        <v>35</v>
      </c>
      <c r="H44" s="1"/>
      <c r="I44" s="1"/>
      <c r="J44" s="7"/>
      <c r="K44" s="11"/>
      <c r="L44" s="1"/>
      <c r="M44" s="1"/>
    </row>
    <row r="45" spans="1:13">
      <c r="A45" s="27" t="s">
        <v>75</v>
      </c>
      <c r="B45" s="27"/>
      <c r="C45" s="27"/>
      <c r="D45" s="27"/>
      <c r="E45" s="27"/>
      <c r="F45" s="27"/>
      <c r="G45" s="56">
        <f>+G44*G43</f>
        <v>268800</v>
      </c>
      <c r="H45" s="1"/>
      <c r="I45" s="1"/>
      <c r="J45" s="7">
        <v>664205</v>
      </c>
      <c r="K45" s="11"/>
      <c r="L45" s="1"/>
      <c r="M45" s="1"/>
    </row>
    <row r="46" spans="1:13">
      <c r="A46" s="27" t="s">
        <v>76</v>
      </c>
      <c r="B46" s="27"/>
      <c r="C46" s="27"/>
      <c r="D46" s="27"/>
      <c r="E46" s="27"/>
      <c r="F46" s="27"/>
      <c r="G46" s="56">
        <f>+G45-K22</f>
        <v>152251</v>
      </c>
      <c r="H46" s="1"/>
      <c r="I46" s="1"/>
      <c r="J46" s="7">
        <v>376212</v>
      </c>
      <c r="K46" s="11"/>
      <c r="L46" s="1"/>
      <c r="M46" s="1"/>
    </row>
    <row r="47" spans="1:13">
      <c r="A47" s="27" t="s">
        <v>77</v>
      </c>
      <c r="B47" s="27"/>
      <c r="C47" s="27"/>
      <c r="D47" s="27"/>
      <c r="E47" s="27"/>
      <c r="F47" s="27"/>
      <c r="G47" s="56">
        <f>+G45-K23</f>
        <v>183618</v>
      </c>
      <c r="H47" s="1"/>
      <c r="I47" s="1"/>
      <c r="J47" s="7">
        <v>453720</v>
      </c>
      <c r="K47" s="11"/>
      <c r="L47" s="1"/>
      <c r="M47" s="1"/>
    </row>
    <row r="48" spans="1:13">
      <c r="A48" s="27"/>
      <c r="B48" s="27"/>
      <c r="C48" s="27"/>
      <c r="D48" s="27"/>
      <c r="E48" s="27"/>
      <c r="F48" s="27"/>
      <c r="G48" s="56"/>
      <c r="H48" s="1"/>
      <c r="I48" s="1"/>
      <c r="J48" s="1"/>
      <c r="K48" s="1"/>
      <c r="L48" s="1"/>
      <c r="M48" s="1"/>
    </row>
    <row r="49" spans="1:13">
      <c r="A49" s="27" t="s">
        <v>78</v>
      </c>
      <c r="B49" s="27"/>
      <c r="C49" s="27"/>
      <c r="D49" s="27"/>
      <c r="E49" s="27"/>
      <c r="F49" s="27"/>
      <c r="G49" s="56">
        <f>+K22/G43</f>
        <v>15.175651041666667</v>
      </c>
      <c r="H49" s="1"/>
      <c r="I49" s="1"/>
      <c r="J49" s="1"/>
      <c r="K49" s="1"/>
      <c r="L49" s="1"/>
      <c r="M49" s="1"/>
    </row>
    <row r="50" spans="1:13">
      <c r="A50" s="18" t="s">
        <v>79</v>
      </c>
      <c r="B50" s="18"/>
      <c r="C50" s="18"/>
      <c r="D50" s="18"/>
      <c r="E50" s="18"/>
      <c r="F50" s="18"/>
      <c r="G50" s="57">
        <f>+K23/G43</f>
        <v>11.09140625</v>
      </c>
      <c r="H50" s="1"/>
      <c r="I50" s="1"/>
      <c r="J50" s="1"/>
      <c r="K50" s="1"/>
      <c r="L50" s="1"/>
      <c r="M50" s="1"/>
    </row>
    <row r="51" spans="1:1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3:M49"/>
  <sheetViews>
    <sheetView topLeftCell="A16" workbookViewId="0">
      <selection activeCell="A3" sqref="A3:M49"/>
    </sheetView>
  </sheetViews>
  <sheetFormatPr defaultRowHeight="15"/>
  <sheetData>
    <row r="3" spans="1:13">
      <c r="A3" s="21" t="s">
        <v>0</v>
      </c>
      <c r="B3" s="21" t="s">
        <v>363</v>
      </c>
      <c r="C3" s="21"/>
      <c r="D3" s="21"/>
      <c r="E3" s="21"/>
      <c r="F3" s="21"/>
      <c r="G3" s="21"/>
      <c r="H3" s="21"/>
      <c r="I3" s="21"/>
      <c r="J3" s="21"/>
      <c r="K3" s="21" t="s">
        <v>81</v>
      </c>
      <c r="L3" s="1"/>
      <c r="M3" s="1"/>
    </row>
    <row r="4" spans="1:1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>
      <c r="A6" s="262" t="s">
        <v>4</v>
      </c>
      <c r="B6" s="262"/>
      <c r="C6" s="262"/>
      <c r="D6" s="255" t="s">
        <v>5</v>
      </c>
      <c r="E6" s="255" t="s">
        <v>6</v>
      </c>
      <c r="F6" s="255" t="s">
        <v>7</v>
      </c>
      <c r="G6" s="255" t="s">
        <v>8</v>
      </c>
      <c r="H6" s="255" t="s">
        <v>9</v>
      </c>
      <c r="I6" s="255" t="s">
        <v>10</v>
      </c>
      <c r="J6" s="255" t="s">
        <v>11</v>
      </c>
      <c r="K6" s="255" t="s">
        <v>12</v>
      </c>
      <c r="L6" s="267" t="s">
        <v>319</v>
      </c>
      <c r="M6" s="255"/>
    </row>
    <row r="7" spans="1:13">
      <c r="A7" s="168"/>
      <c r="B7" s="168"/>
      <c r="C7" s="168"/>
      <c r="D7" s="256" t="s">
        <v>320</v>
      </c>
      <c r="E7" s="256" t="s">
        <v>321</v>
      </c>
      <c r="F7" s="256" t="s">
        <v>321</v>
      </c>
      <c r="G7" s="256" t="s">
        <v>322</v>
      </c>
      <c r="H7" s="256" t="s">
        <v>323</v>
      </c>
      <c r="I7" s="256" t="s">
        <v>324</v>
      </c>
      <c r="J7" s="256" t="s">
        <v>328</v>
      </c>
      <c r="K7" s="256" t="s">
        <v>328</v>
      </c>
      <c r="L7" s="268" t="s">
        <v>350</v>
      </c>
      <c r="M7" s="256" t="s">
        <v>351</v>
      </c>
    </row>
    <row r="8" spans="1:13">
      <c r="A8" s="269"/>
      <c r="B8" s="269"/>
      <c r="C8" s="269"/>
      <c r="D8" s="257" t="s">
        <v>21</v>
      </c>
      <c r="E8" s="257"/>
      <c r="F8" s="257"/>
      <c r="G8" s="257"/>
      <c r="H8" s="257" t="s">
        <v>22</v>
      </c>
      <c r="I8" s="257" t="s">
        <v>364</v>
      </c>
      <c r="J8" s="257" t="s">
        <v>352</v>
      </c>
      <c r="K8" s="257" t="s">
        <v>352</v>
      </c>
      <c r="L8" s="257"/>
      <c r="M8" s="257"/>
    </row>
    <row r="9" spans="1:13">
      <c r="A9" s="27" t="s">
        <v>23</v>
      </c>
      <c r="B9" s="27"/>
      <c r="C9" s="27"/>
      <c r="D9" s="32">
        <v>100</v>
      </c>
      <c r="E9" s="41">
        <v>0.7</v>
      </c>
      <c r="F9" s="41">
        <v>0.7</v>
      </c>
      <c r="G9" s="41">
        <v>1322</v>
      </c>
      <c r="H9" s="41">
        <v>925</v>
      </c>
      <c r="I9" s="41"/>
      <c r="J9" s="41">
        <v>483</v>
      </c>
      <c r="K9" s="41">
        <f>SUM(H9:J9)</f>
        <v>1408</v>
      </c>
      <c r="L9" s="32"/>
      <c r="M9" s="32"/>
    </row>
    <row r="10" spans="1:13">
      <c r="A10" s="1" t="s">
        <v>94</v>
      </c>
      <c r="B10" s="1"/>
      <c r="C10" s="1"/>
      <c r="D10" s="4">
        <v>53</v>
      </c>
      <c r="E10" s="7">
        <v>3.1</v>
      </c>
      <c r="F10" s="7">
        <v>1.2</v>
      </c>
      <c r="G10" s="40">
        <v>1475</v>
      </c>
      <c r="H10" s="41">
        <v>4573</v>
      </c>
      <c r="I10" s="7"/>
      <c r="J10" s="7"/>
      <c r="K10" s="41">
        <f t="shared" ref="K10:K17" si="0">SUM(H10:J10)</f>
        <v>4573</v>
      </c>
      <c r="L10" s="1"/>
      <c r="M10" s="1"/>
    </row>
    <row r="11" spans="1:13">
      <c r="A11" s="1" t="s">
        <v>365</v>
      </c>
      <c r="B11" s="1"/>
      <c r="C11" s="1"/>
      <c r="D11" s="4">
        <v>67</v>
      </c>
      <c r="E11" s="7">
        <v>0.5</v>
      </c>
      <c r="F11" s="7">
        <v>0.5</v>
      </c>
      <c r="G11" s="40">
        <v>1475</v>
      </c>
      <c r="H11" s="41">
        <v>738</v>
      </c>
      <c r="I11" s="42">
        <v>7549</v>
      </c>
      <c r="J11" s="7"/>
      <c r="K11" s="41">
        <f t="shared" si="0"/>
        <v>8287</v>
      </c>
      <c r="L11" s="7"/>
      <c r="M11" s="1"/>
    </row>
    <row r="12" spans="1:13">
      <c r="A12" s="1" t="s">
        <v>366</v>
      </c>
      <c r="B12" s="1"/>
      <c r="C12" s="1"/>
      <c r="D12" s="58" t="s">
        <v>97</v>
      </c>
      <c r="E12" s="7"/>
      <c r="F12" s="7"/>
      <c r="G12" s="43"/>
      <c r="H12" s="41">
        <f t="shared" ref="H12" si="1">+G12*E12</f>
        <v>0</v>
      </c>
      <c r="I12" s="42"/>
      <c r="J12" s="7"/>
      <c r="K12" s="41">
        <f t="shared" si="0"/>
        <v>0</v>
      </c>
      <c r="L12" s="7"/>
      <c r="M12" s="1"/>
    </row>
    <row r="13" spans="1:13">
      <c r="A13" s="1" t="s">
        <v>95</v>
      </c>
      <c r="B13" s="1"/>
      <c r="C13" s="1"/>
      <c r="D13" s="4">
        <v>100</v>
      </c>
      <c r="E13" s="7">
        <v>6.4</v>
      </c>
      <c r="F13" s="7">
        <v>3.4</v>
      </c>
      <c r="G13" s="6">
        <v>1475</v>
      </c>
      <c r="H13" s="41">
        <v>9440</v>
      </c>
      <c r="I13" s="7"/>
      <c r="J13" s="42">
        <v>3568</v>
      </c>
      <c r="K13" s="41">
        <f>SUM(H13:J13)</f>
        <v>13008</v>
      </c>
      <c r="L13" s="1"/>
      <c r="M13" s="1"/>
    </row>
    <row r="14" spans="1:13">
      <c r="A14" s="1" t="s">
        <v>86</v>
      </c>
      <c r="B14" s="1"/>
      <c r="C14" s="1"/>
      <c r="D14" s="4">
        <v>100</v>
      </c>
      <c r="E14" s="7">
        <v>8.1</v>
      </c>
      <c r="F14" s="7">
        <v>5.6</v>
      </c>
      <c r="G14" s="6">
        <v>1475</v>
      </c>
      <c r="H14" s="41">
        <v>11948</v>
      </c>
      <c r="I14" s="7"/>
      <c r="J14" s="7">
        <v>8066</v>
      </c>
      <c r="K14" s="41">
        <f t="shared" si="0"/>
        <v>20014</v>
      </c>
      <c r="L14" s="1"/>
      <c r="M14" s="1"/>
    </row>
    <row r="15" spans="1:13">
      <c r="A15" s="1" t="s">
        <v>37</v>
      </c>
      <c r="B15" s="1"/>
      <c r="C15" s="1"/>
      <c r="D15" s="4">
        <v>100</v>
      </c>
      <c r="E15" s="7">
        <v>13.8</v>
      </c>
      <c r="F15" s="7">
        <v>4.9000000000000004</v>
      </c>
      <c r="G15" s="6">
        <v>1322</v>
      </c>
      <c r="H15" s="41">
        <v>18244</v>
      </c>
      <c r="I15" s="7"/>
      <c r="J15" s="7"/>
      <c r="K15" s="41">
        <f t="shared" si="0"/>
        <v>18244</v>
      </c>
      <c r="L15" s="1"/>
      <c r="M15" s="1"/>
    </row>
    <row r="16" spans="1:13">
      <c r="A16" s="1" t="s">
        <v>134</v>
      </c>
      <c r="B16" s="1"/>
      <c r="C16" s="1"/>
      <c r="D16" s="4">
        <v>100</v>
      </c>
      <c r="E16" s="7">
        <v>9.3000000000000007</v>
      </c>
      <c r="F16" s="7">
        <v>7.6</v>
      </c>
      <c r="G16" s="6">
        <v>1500</v>
      </c>
      <c r="H16" s="41">
        <v>13950</v>
      </c>
      <c r="I16" s="7"/>
      <c r="J16" s="42">
        <v>28579</v>
      </c>
      <c r="K16" s="41">
        <f t="shared" si="0"/>
        <v>42529</v>
      </c>
      <c r="L16" s="1"/>
      <c r="M16" s="1"/>
    </row>
    <row r="17" spans="1:13">
      <c r="A17" s="1" t="s">
        <v>331</v>
      </c>
      <c r="B17" s="1"/>
      <c r="C17" s="1"/>
      <c r="D17" s="4">
        <v>100</v>
      </c>
      <c r="E17" s="42">
        <v>11.2</v>
      </c>
      <c r="F17" s="7">
        <v>11.2</v>
      </c>
      <c r="G17" s="40">
        <v>1475</v>
      </c>
      <c r="H17" s="41">
        <v>16520</v>
      </c>
      <c r="I17" s="42">
        <v>12372</v>
      </c>
      <c r="J17" s="7"/>
      <c r="K17" s="41">
        <f t="shared" si="0"/>
        <v>28892</v>
      </c>
      <c r="L17" s="1"/>
      <c r="M17" s="1"/>
    </row>
    <row r="18" spans="1:13">
      <c r="A18" s="1" t="s">
        <v>88</v>
      </c>
      <c r="B18" s="1"/>
      <c r="C18" s="1"/>
      <c r="D18" s="4">
        <v>100</v>
      </c>
      <c r="E18" s="7">
        <v>34</v>
      </c>
      <c r="F18" s="7">
        <v>18.3</v>
      </c>
      <c r="G18" s="6">
        <v>1347</v>
      </c>
      <c r="H18" s="41">
        <f>+G18*E18</f>
        <v>45798</v>
      </c>
      <c r="I18" s="7"/>
      <c r="J18" s="7"/>
      <c r="K18" s="41">
        <f>SUM(H18:J18)</f>
        <v>45798</v>
      </c>
      <c r="L18" s="1"/>
      <c r="M18" s="1"/>
    </row>
    <row r="19" spans="1:13">
      <c r="A19" s="15" t="s">
        <v>333</v>
      </c>
      <c r="B19" s="15"/>
      <c r="C19" s="15"/>
      <c r="D19" s="16"/>
      <c r="E19" s="17">
        <f>SUM(E10:E18)</f>
        <v>86.4</v>
      </c>
      <c r="F19" s="17">
        <f>SUM(F10:F18)</f>
        <v>52.7</v>
      </c>
      <c r="G19" s="17"/>
      <c r="H19" s="17">
        <f>SUM(H9:H18)</f>
        <v>122136</v>
      </c>
      <c r="I19" s="17">
        <f t="shared" ref="I19:M19" si="2">SUM(I9:I18)</f>
        <v>19921</v>
      </c>
      <c r="J19" s="17">
        <f t="shared" si="2"/>
        <v>40696</v>
      </c>
      <c r="K19" s="17">
        <f t="shared" si="2"/>
        <v>182753</v>
      </c>
      <c r="L19" s="17">
        <f t="shared" si="2"/>
        <v>0</v>
      </c>
      <c r="M19" s="17">
        <f t="shared" si="2"/>
        <v>0</v>
      </c>
    </row>
    <row r="20" spans="1:13">
      <c r="A20" s="18" t="s">
        <v>334</v>
      </c>
      <c r="B20" s="18"/>
      <c r="C20" s="18"/>
      <c r="D20" s="19"/>
      <c r="E20" s="20">
        <f>SUM(E19-F19)</f>
        <v>33.700000000000003</v>
      </c>
      <c r="F20" s="20"/>
      <c r="G20" s="20"/>
      <c r="H20" s="20">
        <f>+G31*E31</f>
        <v>47736</v>
      </c>
      <c r="I20" s="20">
        <f>I19-L19</f>
        <v>19921</v>
      </c>
      <c r="J20" s="20">
        <f>J19-M19</f>
        <v>40696</v>
      </c>
      <c r="K20" s="20">
        <f>SUM(H20:J20)</f>
        <v>108353</v>
      </c>
      <c r="L20" s="18"/>
      <c r="M20" s="18"/>
    </row>
    <row r="21" spans="1:1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>
      <c r="A22" s="1"/>
      <c r="B22" s="1"/>
      <c r="C22" s="21" t="s">
        <v>45</v>
      </c>
      <c r="D22" s="1"/>
      <c r="E22" s="1"/>
      <c r="F22" s="1"/>
      <c r="G22" s="1"/>
      <c r="H22" s="11"/>
      <c r="I22" s="7"/>
      <c r="J22" s="7"/>
      <c r="K22" s="7"/>
      <c r="L22" s="1"/>
      <c r="M22" s="1"/>
    </row>
    <row r="23" spans="1:13">
      <c r="A23" s="1"/>
      <c r="B23" s="1"/>
      <c r="C23" s="1"/>
      <c r="D23" s="1"/>
      <c r="E23" s="1"/>
      <c r="F23" s="1"/>
      <c r="G23" s="1"/>
      <c r="H23" s="1"/>
      <c r="I23" s="1"/>
      <c r="J23" s="7"/>
      <c r="K23" s="7"/>
      <c r="L23" s="1"/>
      <c r="M23" s="1"/>
    </row>
    <row r="24" spans="1:13">
      <c r="A24" s="21" t="s">
        <v>46</v>
      </c>
      <c r="B24" s="21"/>
      <c r="C24" s="21"/>
      <c r="D24" s="21"/>
      <c r="E24" s="21"/>
      <c r="F24" s="21"/>
      <c r="G24" s="21"/>
      <c r="H24" s="21"/>
      <c r="I24" s="1"/>
      <c r="J24" s="1"/>
      <c r="K24" s="1"/>
      <c r="L24" s="1"/>
      <c r="M24" s="1"/>
    </row>
    <row r="25" spans="1:13">
      <c r="A25" s="260" t="s">
        <v>47</v>
      </c>
      <c r="B25" s="260"/>
      <c r="C25" s="260"/>
      <c r="D25" s="260" t="s">
        <v>48</v>
      </c>
      <c r="E25" s="260" t="s">
        <v>49</v>
      </c>
      <c r="F25" s="260"/>
      <c r="G25" s="260" t="s">
        <v>89</v>
      </c>
      <c r="H25" s="21"/>
      <c r="I25" s="1"/>
      <c r="J25" s="1"/>
      <c r="K25" s="45"/>
      <c r="L25" s="1"/>
      <c r="M25" s="1"/>
    </row>
    <row r="26" spans="1:13">
      <c r="A26" s="21" t="s">
        <v>53</v>
      </c>
      <c r="B26" s="21"/>
      <c r="C26" s="21"/>
      <c r="D26" s="21"/>
      <c r="E26" s="21"/>
      <c r="F26" s="21"/>
      <c r="G26" s="21"/>
      <c r="H26" s="21"/>
      <c r="I26" s="1"/>
      <c r="J26" s="1"/>
      <c r="K26" s="45"/>
      <c r="L26" s="1"/>
      <c r="M26" s="1"/>
    </row>
    <row r="27" spans="1:13">
      <c r="A27" s="1" t="s">
        <v>55</v>
      </c>
      <c r="B27" s="1"/>
      <c r="C27" s="1"/>
      <c r="D27" s="117" t="s">
        <v>69</v>
      </c>
      <c r="E27" s="117">
        <v>0.15</v>
      </c>
      <c r="F27" s="117"/>
      <c r="G27" s="261">
        <v>23786</v>
      </c>
      <c r="H27" s="1"/>
      <c r="I27" s="46" t="s">
        <v>60</v>
      </c>
      <c r="J27" s="47">
        <v>0.8</v>
      </c>
      <c r="K27" s="45"/>
      <c r="L27" s="1"/>
      <c r="M27" s="1"/>
    </row>
    <row r="28" spans="1:13">
      <c r="A28" s="1"/>
      <c r="B28" s="1"/>
      <c r="C28" s="1"/>
      <c r="D28" s="26"/>
      <c r="E28" s="26"/>
      <c r="F28" s="26"/>
      <c r="G28" s="26"/>
      <c r="H28" s="1"/>
      <c r="I28" s="49" t="s">
        <v>62</v>
      </c>
      <c r="J28" s="50">
        <v>0.5</v>
      </c>
      <c r="K28" s="45"/>
      <c r="L28" s="1"/>
      <c r="M28" s="1"/>
    </row>
    <row r="29" spans="1:13">
      <c r="A29" s="1"/>
      <c r="B29" s="1"/>
      <c r="C29" s="1"/>
      <c r="D29" s="26"/>
      <c r="E29" s="26"/>
      <c r="F29" s="26"/>
      <c r="G29" s="26"/>
      <c r="H29" s="1"/>
      <c r="I29" s="1"/>
      <c r="J29" s="1"/>
      <c r="K29" s="1"/>
      <c r="L29" s="1"/>
      <c r="M29" s="1"/>
    </row>
    <row r="30" spans="1:13">
      <c r="A30" s="21" t="s">
        <v>57</v>
      </c>
      <c r="B30" s="1"/>
      <c r="C30" s="1"/>
      <c r="D30" s="26"/>
      <c r="E30" s="26"/>
      <c r="F30" s="26"/>
      <c r="G30" s="26"/>
      <c r="H30" s="1"/>
      <c r="I30" s="59" t="s">
        <v>51</v>
      </c>
      <c r="J30" s="60" t="s">
        <v>52</v>
      </c>
      <c r="K30" s="1"/>
      <c r="L30" s="1"/>
      <c r="M30" s="1"/>
    </row>
    <row r="31" spans="1:13">
      <c r="A31" s="1" t="s">
        <v>336</v>
      </c>
      <c r="B31" s="1"/>
      <c r="C31" s="1"/>
      <c r="D31" s="26" t="s">
        <v>59</v>
      </c>
      <c r="E31" s="117">
        <v>34</v>
      </c>
      <c r="F31" s="26"/>
      <c r="G31" s="117">
        <v>1404</v>
      </c>
      <c r="H31" s="1"/>
      <c r="I31" s="61" t="s">
        <v>90</v>
      </c>
      <c r="J31" s="62">
        <v>93</v>
      </c>
      <c r="K31" s="1"/>
      <c r="L31" s="1"/>
      <c r="M31" s="1"/>
    </row>
    <row r="32" spans="1:13">
      <c r="A32" s="1" t="s">
        <v>337</v>
      </c>
      <c r="B32" s="1"/>
      <c r="C32" s="1"/>
      <c r="D32" s="26" t="s">
        <v>59</v>
      </c>
      <c r="E32" s="117">
        <v>53</v>
      </c>
      <c r="F32" s="26"/>
      <c r="G32" s="26"/>
      <c r="H32" s="1"/>
      <c r="I32" s="61" t="s">
        <v>54</v>
      </c>
      <c r="J32" s="62">
        <v>7</v>
      </c>
      <c r="K32" s="1"/>
      <c r="L32" s="1"/>
      <c r="M32" s="1"/>
    </row>
    <row r="33" spans="1:13">
      <c r="A33" s="1" t="s">
        <v>6</v>
      </c>
      <c r="B33" s="1"/>
      <c r="C33" s="1"/>
      <c r="D33" s="26" t="s">
        <v>59</v>
      </c>
      <c r="E33" s="117">
        <f>+E32+E31</f>
        <v>87</v>
      </c>
      <c r="F33" s="26"/>
      <c r="G33" s="26"/>
      <c r="H33" s="1"/>
      <c r="I33" s="52"/>
      <c r="J33" s="50"/>
      <c r="K33" s="29"/>
      <c r="L33" s="1"/>
      <c r="M33" s="1"/>
    </row>
    <row r="34" spans="1: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262" t="s">
        <v>63</v>
      </c>
      <c r="B35" s="262"/>
      <c r="C35" s="262" t="s">
        <v>367</v>
      </c>
      <c r="D35" s="262"/>
      <c r="E35" s="262"/>
      <c r="F35" s="15"/>
      <c r="G35" s="15"/>
      <c r="H35" s="1"/>
      <c r="I35" s="1"/>
      <c r="J35" s="1"/>
      <c r="K35" s="1"/>
      <c r="L35" s="1"/>
      <c r="M35" s="1"/>
    </row>
    <row r="36" spans="1:13">
      <c r="A36" s="27"/>
      <c r="B36" s="3"/>
      <c r="C36" s="270" t="s">
        <v>368</v>
      </c>
      <c r="D36" s="53"/>
      <c r="E36" s="27"/>
      <c r="F36" s="27"/>
      <c r="G36" s="34"/>
      <c r="H36" s="1"/>
      <c r="I36" s="1"/>
      <c r="J36" s="1"/>
      <c r="K36" s="1"/>
      <c r="L36" s="1"/>
      <c r="M36" s="1"/>
    </row>
    <row r="37" spans="1:13">
      <c r="A37" s="27" t="s">
        <v>65</v>
      </c>
      <c r="B37" s="3"/>
      <c r="C37" s="31">
        <v>60</v>
      </c>
      <c r="D37" s="32" t="s">
        <v>66</v>
      </c>
      <c r="E37" s="41">
        <v>50</v>
      </c>
      <c r="F37" s="41"/>
      <c r="G37" s="41">
        <v>25</v>
      </c>
      <c r="H37" s="1"/>
      <c r="I37" s="1"/>
      <c r="J37" s="1"/>
      <c r="K37" s="1"/>
      <c r="L37" s="1"/>
      <c r="M37" s="1"/>
    </row>
    <row r="38" spans="1:13">
      <c r="A38" s="27" t="s">
        <v>67</v>
      </c>
      <c r="B38" s="3"/>
      <c r="C38" s="31">
        <v>67</v>
      </c>
      <c r="D38" s="32" t="s">
        <v>66</v>
      </c>
      <c r="E38" s="41">
        <v>159</v>
      </c>
      <c r="F38" s="41"/>
      <c r="G38" s="41">
        <v>24</v>
      </c>
      <c r="H38" s="1"/>
      <c r="I38" s="1"/>
      <c r="J38" s="1"/>
      <c r="K38" s="1"/>
      <c r="L38" s="1"/>
      <c r="M38" s="1"/>
    </row>
    <row r="39" spans="1:13">
      <c r="A39" s="27" t="s">
        <v>92</v>
      </c>
      <c r="B39" s="3"/>
      <c r="C39" s="31">
        <v>40</v>
      </c>
      <c r="D39" s="32" t="s">
        <v>66</v>
      </c>
      <c r="E39" s="41">
        <v>120</v>
      </c>
      <c r="F39" s="32"/>
      <c r="G39" s="41">
        <v>25</v>
      </c>
      <c r="H39" s="1"/>
      <c r="I39" s="1"/>
      <c r="J39" s="1"/>
      <c r="K39" s="1"/>
      <c r="L39" s="1"/>
      <c r="M39" s="1"/>
    </row>
    <row r="40" spans="1:13">
      <c r="A40" s="262" t="s">
        <v>70</v>
      </c>
      <c r="B40" s="15"/>
      <c r="C40" s="15"/>
      <c r="D40" s="15"/>
      <c r="E40" s="15"/>
      <c r="F40" s="15"/>
      <c r="G40" s="255" t="s">
        <v>340</v>
      </c>
      <c r="H40" s="266"/>
      <c r="I40" s="266"/>
      <c r="J40" s="266" t="s">
        <v>340</v>
      </c>
      <c r="K40" s="1"/>
      <c r="L40" s="1"/>
      <c r="M40" s="1"/>
    </row>
    <row r="41" spans="1:13">
      <c r="A41" s="27" t="s">
        <v>342</v>
      </c>
      <c r="B41" s="27"/>
      <c r="C41" s="27"/>
      <c r="D41" s="27"/>
      <c r="E41" s="27"/>
      <c r="F41" s="27"/>
      <c r="G41" s="55">
        <v>8861</v>
      </c>
      <c r="H41" s="1"/>
      <c r="I41" s="1"/>
      <c r="J41" s="11">
        <v>21896</v>
      </c>
      <c r="K41" s="11"/>
      <c r="L41" s="1"/>
      <c r="M41" s="1"/>
    </row>
    <row r="42" spans="1:13">
      <c r="A42" s="27" t="s">
        <v>343</v>
      </c>
      <c r="B42" s="27"/>
      <c r="C42" s="27"/>
      <c r="D42" s="27"/>
      <c r="E42" s="27"/>
      <c r="F42" s="27"/>
      <c r="G42" s="56">
        <v>89</v>
      </c>
      <c r="H42" s="1"/>
      <c r="I42" s="1"/>
      <c r="J42" s="11"/>
      <c r="K42" s="11"/>
      <c r="L42" s="1"/>
      <c r="M42" s="1"/>
    </row>
    <row r="43" spans="1:13">
      <c r="A43" s="27" t="s">
        <v>360</v>
      </c>
      <c r="B43" s="27"/>
      <c r="C43" s="27"/>
      <c r="D43" s="27"/>
      <c r="E43" s="27"/>
      <c r="F43" s="27"/>
      <c r="G43" s="56">
        <f>+G42*G41</f>
        <v>788629</v>
      </c>
      <c r="H43" s="1"/>
      <c r="I43" s="1"/>
      <c r="J43" s="11">
        <v>1948702</v>
      </c>
      <c r="K43" s="11"/>
      <c r="L43" s="1"/>
      <c r="M43" s="1"/>
    </row>
    <row r="44" spans="1:13">
      <c r="A44" s="27" t="s">
        <v>361</v>
      </c>
      <c r="B44" s="27"/>
      <c r="C44" s="27"/>
      <c r="D44" s="27"/>
      <c r="E44" s="27"/>
      <c r="F44" s="27"/>
      <c r="G44" s="56">
        <f>+G43-K19</f>
        <v>605876</v>
      </c>
      <c r="H44" s="1"/>
      <c r="I44" s="1"/>
      <c r="J44" s="11">
        <v>1497120</v>
      </c>
      <c r="K44" s="11"/>
      <c r="L44" s="1"/>
      <c r="M44" s="1"/>
    </row>
    <row r="45" spans="1:13">
      <c r="A45" s="27" t="s">
        <v>362</v>
      </c>
      <c r="B45" s="27"/>
      <c r="C45" s="27"/>
      <c r="D45" s="27"/>
      <c r="E45" s="27"/>
      <c r="F45" s="27"/>
      <c r="G45" s="56">
        <f>+G43-K20</f>
        <v>680276</v>
      </c>
      <c r="H45" s="1"/>
      <c r="I45" s="1"/>
      <c r="J45" s="11">
        <v>1680962</v>
      </c>
      <c r="K45" s="11"/>
      <c r="L45" s="1"/>
      <c r="M45" s="1"/>
    </row>
    <row r="46" spans="1:13">
      <c r="A46" s="27"/>
      <c r="B46" s="27"/>
      <c r="C46" s="27"/>
      <c r="D46" s="27"/>
      <c r="E46" s="27"/>
      <c r="F46" s="27"/>
      <c r="G46" s="56"/>
      <c r="H46" s="1"/>
      <c r="I46" s="1"/>
      <c r="J46" s="1"/>
      <c r="K46" s="1"/>
      <c r="L46" s="1"/>
      <c r="M46" s="1"/>
    </row>
    <row r="47" spans="1:13">
      <c r="A47" s="27" t="s">
        <v>347</v>
      </c>
      <c r="B47" s="27"/>
      <c r="C47" s="27"/>
      <c r="D47" s="27"/>
      <c r="E47" s="27"/>
      <c r="F47" s="27"/>
      <c r="G47" s="56">
        <f>+K19/G41</f>
        <v>20.624421622841666</v>
      </c>
      <c r="H47" s="1"/>
      <c r="I47" s="1"/>
      <c r="J47" s="1"/>
      <c r="K47" s="1"/>
      <c r="L47" s="1"/>
      <c r="M47" s="1"/>
    </row>
    <row r="48" spans="1:13">
      <c r="A48" s="18" t="s">
        <v>348</v>
      </c>
      <c r="B48" s="18"/>
      <c r="C48" s="18"/>
      <c r="D48" s="18"/>
      <c r="E48" s="18"/>
      <c r="F48" s="18"/>
      <c r="G48" s="57">
        <f>+K20/G41</f>
        <v>12.228078095023134</v>
      </c>
      <c r="H48" s="1"/>
      <c r="I48" s="1"/>
      <c r="J48" s="1"/>
      <c r="K48" s="1"/>
      <c r="L48" s="1"/>
      <c r="M48" s="1"/>
    </row>
    <row r="49" spans="1:1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3:M48"/>
  <sheetViews>
    <sheetView topLeftCell="A22" workbookViewId="0">
      <selection activeCell="L31" sqref="L31"/>
    </sheetView>
  </sheetViews>
  <sheetFormatPr defaultRowHeight="15"/>
  <sheetData>
    <row r="3" spans="1:13">
      <c r="A3" s="21" t="s">
        <v>0</v>
      </c>
      <c r="B3" s="21" t="s">
        <v>349</v>
      </c>
      <c r="C3" s="21"/>
      <c r="D3" s="21"/>
      <c r="E3" s="21"/>
      <c r="F3" s="21"/>
      <c r="G3" s="21"/>
      <c r="H3" s="21"/>
      <c r="I3" s="1"/>
      <c r="J3" s="1"/>
      <c r="K3" s="1"/>
      <c r="L3" s="1"/>
      <c r="M3" s="1"/>
    </row>
    <row r="4" spans="1:1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>
      <c r="A6" s="255" t="s">
        <v>4</v>
      </c>
      <c r="B6" s="255"/>
      <c r="C6" s="255"/>
      <c r="D6" s="255" t="s">
        <v>5</v>
      </c>
      <c r="E6" s="255" t="s">
        <v>6</v>
      </c>
      <c r="F6" s="255" t="s">
        <v>7</v>
      </c>
      <c r="G6" s="255" t="s">
        <v>8</v>
      </c>
      <c r="H6" s="255" t="s">
        <v>9</v>
      </c>
      <c r="I6" s="255" t="s">
        <v>10</v>
      </c>
      <c r="J6" s="255" t="s">
        <v>11</v>
      </c>
      <c r="K6" s="255" t="s">
        <v>12</v>
      </c>
      <c r="L6" s="255" t="s">
        <v>319</v>
      </c>
      <c r="M6" s="255"/>
    </row>
    <row r="7" spans="1:13">
      <c r="A7" s="256"/>
      <c r="B7" s="256"/>
      <c r="C7" s="256"/>
      <c r="D7" s="256" t="s">
        <v>320</v>
      </c>
      <c r="E7" s="256" t="s">
        <v>321</v>
      </c>
      <c r="F7" s="256" t="s">
        <v>321</v>
      </c>
      <c r="G7" s="256" t="s">
        <v>322</v>
      </c>
      <c r="H7" s="256" t="s">
        <v>328</v>
      </c>
      <c r="I7" s="256" t="s">
        <v>324</v>
      </c>
      <c r="J7" s="256" t="s">
        <v>328</v>
      </c>
      <c r="K7" s="256" t="s">
        <v>328</v>
      </c>
      <c r="L7" s="256" t="s">
        <v>350</v>
      </c>
      <c r="M7" s="256" t="s">
        <v>351</v>
      </c>
    </row>
    <row r="8" spans="1:13">
      <c r="A8" s="257"/>
      <c r="B8" s="257"/>
      <c r="C8" s="257"/>
      <c r="D8" s="257" t="s">
        <v>21</v>
      </c>
      <c r="E8" s="257"/>
      <c r="F8" s="257"/>
      <c r="G8" s="257"/>
      <c r="H8" s="257" t="s">
        <v>352</v>
      </c>
      <c r="I8" s="257" t="s">
        <v>353</v>
      </c>
      <c r="J8" s="257" t="s">
        <v>354</v>
      </c>
      <c r="K8" s="257" t="s">
        <v>352</v>
      </c>
      <c r="L8" s="257"/>
      <c r="M8" s="257"/>
    </row>
    <row r="9" spans="1:13">
      <c r="A9" s="1" t="s">
        <v>355</v>
      </c>
      <c r="B9" s="1"/>
      <c r="C9" s="1"/>
      <c r="D9" s="4">
        <v>60</v>
      </c>
      <c r="E9" s="7">
        <v>0.7</v>
      </c>
      <c r="F9" s="7">
        <v>0.7</v>
      </c>
      <c r="G9" s="40">
        <v>1448</v>
      </c>
      <c r="H9" s="41">
        <v>1014</v>
      </c>
      <c r="I9" s="42">
        <v>6441</v>
      </c>
      <c r="J9" s="7"/>
      <c r="K9" s="41">
        <f>SUM(H9:J9)</f>
        <v>7455</v>
      </c>
      <c r="L9" s="7">
        <v>1158</v>
      </c>
      <c r="M9" s="1"/>
    </row>
    <row r="10" spans="1:13">
      <c r="A10" s="12" t="s">
        <v>356</v>
      </c>
      <c r="B10" s="1"/>
      <c r="C10" s="1"/>
      <c r="D10" s="58" t="s">
        <v>83</v>
      </c>
      <c r="E10" s="117"/>
      <c r="F10" s="117"/>
      <c r="G10" s="258"/>
      <c r="H10" s="44" t="s">
        <v>84</v>
      </c>
      <c r="I10" s="259" t="s">
        <v>357</v>
      </c>
      <c r="J10" s="7"/>
      <c r="K10" s="41"/>
      <c r="L10" s="7"/>
      <c r="M10" s="1"/>
    </row>
    <row r="11" spans="1:13">
      <c r="A11" s="1" t="s">
        <v>85</v>
      </c>
      <c r="B11" s="1"/>
      <c r="C11" s="1"/>
      <c r="D11" s="4">
        <v>100</v>
      </c>
      <c r="E11" s="7">
        <v>8.6999999999999993</v>
      </c>
      <c r="F11" s="7">
        <v>2.8</v>
      </c>
      <c r="G11" s="6">
        <v>1448</v>
      </c>
      <c r="H11" s="41">
        <v>12598</v>
      </c>
      <c r="I11" s="7"/>
      <c r="J11" s="42">
        <v>30356</v>
      </c>
      <c r="K11" s="41">
        <f t="shared" ref="K11:K17" si="0">+J11+I11+H11</f>
        <v>42954</v>
      </c>
      <c r="L11" s="1"/>
      <c r="M11" s="1"/>
    </row>
    <row r="12" spans="1:13">
      <c r="A12" s="1" t="s">
        <v>86</v>
      </c>
      <c r="B12" s="1"/>
      <c r="C12" s="1"/>
      <c r="D12" s="4">
        <v>100</v>
      </c>
      <c r="E12" s="7">
        <v>10.1</v>
      </c>
      <c r="F12" s="7">
        <v>6.5</v>
      </c>
      <c r="G12" s="6">
        <v>1448</v>
      </c>
      <c r="H12" s="41">
        <v>14625</v>
      </c>
      <c r="I12" s="7"/>
      <c r="J12" s="7">
        <f>+G35*E35+G36*E36+G37*E37</f>
        <v>17602</v>
      </c>
      <c r="K12" s="41">
        <f t="shared" si="0"/>
        <v>32227</v>
      </c>
      <c r="L12" s="1"/>
      <c r="M12" s="1"/>
    </row>
    <row r="13" spans="1:13">
      <c r="A13" s="1" t="s">
        <v>37</v>
      </c>
      <c r="B13" s="1"/>
      <c r="C13" s="1"/>
      <c r="D13" s="4">
        <v>100</v>
      </c>
      <c r="E13" s="7">
        <v>15.4</v>
      </c>
      <c r="F13" s="7">
        <v>7.7</v>
      </c>
      <c r="G13" s="6">
        <v>1426</v>
      </c>
      <c r="H13" s="41">
        <v>21960</v>
      </c>
      <c r="I13" s="7"/>
      <c r="J13" s="7"/>
      <c r="K13" s="41">
        <f t="shared" si="0"/>
        <v>21960</v>
      </c>
      <c r="L13" s="1"/>
      <c r="M13" s="1"/>
    </row>
    <row r="14" spans="1:13">
      <c r="A14" s="1" t="s">
        <v>134</v>
      </c>
      <c r="B14" s="1"/>
      <c r="C14" s="1"/>
      <c r="D14" s="4">
        <v>100</v>
      </c>
      <c r="E14" s="7">
        <v>10.6</v>
      </c>
      <c r="F14" s="7">
        <v>6.6</v>
      </c>
      <c r="G14" s="6">
        <v>1500</v>
      </c>
      <c r="H14" s="41">
        <v>15900</v>
      </c>
      <c r="I14" s="7"/>
      <c r="J14" s="42">
        <v>23951</v>
      </c>
      <c r="K14" s="41">
        <f t="shared" si="0"/>
        <v>39851</v>
      </c>
      <c r="L14" s="1"/>
      <c r="M14" s="1"/>
    </row>
    <row r="15" spans="1:13">
      <c r="A15" s="1" t="s">
        <v>87</v>
      </c>
      <c r="B15" s="1"/>
      <c r="C15" s="1"/>
      <c r="D15" s="4">
        <v>100</v>
      </c>
      <c r="E15" s="7">
        <v>19</v>
      </c>
      <c r="F15" s="7">
        <v>11.5</v>
      </c>
      <c r="G15" s="6">
        <v>1448</v>
      </c>
      <c r="H15" s="41">
        <f>+G15*E15</f>
        <v>27512</v>
      </c>
      <c r="I15" s="7"/>
      <c r="J15" s="42">
        <v>19657</v>
      </c>
      <c r="K15" s="41">
        <f t="shared" si="0"/>
        <v>47169</v>
      </c>
      <c r="L15" s="1"/>
      <c r="M15" s="1"/>
    </row>
    <row r="16" spans="1:13">
      <c r="A16" s="1" t="s">
        <v>331</v>
      </c>
      <c r="B16" s="1"/>
      <c r="C16" s="1"/>
      <c r="D16" s="4">
        <v>100</v>
      </c>
      <c r="E16" s="42">
        <v>11.8</v>
      </c>
      <c r="F16" s="7">
        <v>11.8</v>
      </c>
      <c r="G16" s="40">
        <v>1426</v>
      </c>
      <c r="H16" s="41">
        <v>16827</v>
      </c>
      <c r="I16" s="42">
        <v>11284</v>
      </c>
      <c r="J16" s="7"/>
      <c r="K16" s="41">
        <f t="shared" si="0"/>
        <v>28111</v>
      </c>
      <c r="L16" s="1"/>
      <c r="M16" s="1"/>
    </row>
    <row r="17" spans="1:13">
      <c r="A17" s="1" t="s">
        <v>88</v>
      </c>
      <c r="B17" s="1"/>
      <c r="C17" s="1"/>
      <c r="D17" s="4">
        <v>100</v>
      </c>
      <c r="E17" s="7">
        <v>29.2</v>
      </c>
      <c r="F17" s="7">
        <v>22.4</v>
      </c>
      <c r="G17" s="6">
        <v>1370</v>
      </c>
      <c r="H17" s="41">
        <v>40004</v>
      </c>
      <c r="I17" s="1"/>
      <c r="J17" s="7"/>
      <c r="K17" s="41">
        <f t="shared" si="0"/>
        <v>40004</v>
      </c>
      <c r="L17" s="1"/>
      <c r="M17" s="1"/>
    </row>
    <row r="18" spans="1:13">
      <c r="A18" s="15" t="s">
        <v>333</v>
      </c>
      <c r="B18" s="15"/>
      <c r="C18" s="15"/>
      <c r="D18" s="16"/>
      <c r="E18" s="17">
        <f>SUM(E9:E17)</f>
        <v>105.5</v>
      </c>
      <c r="F18" s="17">
        <f>SUM(F9:F17)</f>
        <v>70</v>
      </c>
      <c r="G18" s="17"/>
      <c r="H18" s="17">
        <f>SUM(H9:H17)</f>
        <v>150440</v>
      </c>
      <c r="I18" s="17">
        <f t="shared" ref="I18:M18" si="1">SUM(I9:I17)</f>
        <v>17725</v>
      </c>
      <c r="J18" s="17">
        <f t="shared" si="1"/>
        <v>91566</v>
      </c>
      <c r="K18" s="17">
        <f t="shared" si="1"/>
        <v>259731</v>
      </c>
      <c r="L18" s="17">
        <f t="shared" si="1"/>
        <v>1158</v>
      </c>
      <c r="M18" s="17">
        <f t="shared" si="1"/>
        <v>0</v>
      </c>
    </row>
    <row r="19" spans="1:13">
      <c r="A19" s="18" t="s">
        <v>334</v>
      </c>
      <c r="B19" s="18"/>
      <c r="C19" s="18"/>
      <c r="D19" s="19"/>
      <c r="E19" s="20">
        <f>SUM(E18-F18)</f>
        <v>35.5</v>
      </c>
      <c r="F19" s="20"/>
      <c r="G19" s="20"/>
      <c r="H19" s="20">
        <f>+G30*E30</f>
        <v>51084</v>
      </c>
      <c r="I19" s="20">
        <f>I18-L18</f>
        <v>16567</v>
      </c>
      <c r="J19" s="20">
        <f>J18-M18</f>
        <v>91566</v>
      </c>
      <c r="K19" s="20">
        <f>SUM(H19:J19)</f>
        <v>159217</v>
      </c>
      <c r="L19" s="18"/>
      <c r="M19" s="18"/>
    </row>
    <row r="20" spans="1:13">
      <c r="A20" s="1"/>
      <c r="B20" s="1"/>
      <c r="C20" s="1"/>
      <c r="D20" s="1"/>
      <c r="E20" s="1"/>
      <c r="F20" s="1"/>
      <c r="G20" s="1"/>
      <c r="H20" s="1"/>
      <c r="I20" s="7"/>
      <c r="J20" s="1"/>
      <c r="K20" s="7"/>
      <c r="L20" s="1"/>
      <c r="M20" s="1"/>
    </row>
    <row r="21" spans="1:13">
      <c r="A21" s="1"/>
      <c r="B21" s="1"/>
      <c r="C21" s="21" t="s">
        <v>45</v>
      </c>
      <c r="D21" s="1"/>
      <c r="E21" s="1"/>
      <c r="F21" s="1"/>
      <c r="G21" s="1"/>
      <c r="H21" s="7"/>
      <c r="I21" s="7"/>
      <c r="J21" s="7"/>
      <c r="K21" s="7"/>
      <c r="L21" s="1"/>
      <c r="M21" s="1"/>
    </row>
    <row r="22" spans="1:13">
      <c r="A22" s="1"/>
      <c r="B22" s="1"/>
      <c r="C22" s="1"/>
      <c r="D22" s="1"/>
      <c r="E22" s="1"/>
      <c r="F22" s="1"/>
      <c r="G22" s="1"/>
      <c r="H22" s="11"/>
      <c r="I22" s="1"/>
      <c r="J22" s="1"/>
      <c r="K22" s="7"/>
      <c r="L22" s="1"/>
      <c r="M22" s="1"/>
    </row>
    <row r="23" spans="1:13">
      <c r="A23" s="21" t="s">
        <v>46</v>
      </c>
      <c r="B23" s="21"/>
      <c r="C23" s="21"/>
      <c r="D23" s="21"/>
      <c r="E23" s="21"/>
      <c r="F23" s="21"/>
      <c r="G23" s="21"/>
      <c r="H23" s="1"/>
      <c r="I23" s="1"/>
      <c r="J23" s="1"/>
      <c r="K23" s="1"/>
      <c r="L23" s="1"/>
      <c r="M23" s="1"/>
    </row>
    <row r="24" spans="1:13">
      <c r="A24" s="260" t="s">
        <v>47</v>
      </c>
      <c r="B24" s="260"/>
      <c r="C24" s="260" t="s">
        <v>52</v>
      </c>
      <c r="D24" s="260" t="s">
        <v>48</v>
      </c>
      <c r="E24" s="260" t="s">
        <v>49</v>
      </c>
      <c r="F24" s="260"/>
      <c r="G24" s="260" t="s">
        <v>89</v>
      </c>
      <c r="H24" s="1"/>
      <c r="I24" s="1"/>
      <c r="J24" s="1"/>
      <c r="K24" s="45"/>
      <c r="L24" s="1"/>
      <c r="M24" s="1"/>
    </row>
    <row r="25" spans="1:13">
      <c r="A25" s="21" t="s">
        <v>53</v>
      </c>
      <c r="B25" s="1"/>
      <c r="D25" s="1"/>
      <c r="E25" s="1"/>
      <c r="F25" s="1"/>
      <c r="G25" s="1"/>
      <c r="H25" s="1"/>
      <c r="I25" s="1"/>
      <c r="J25" s="1"/>
      <c r="K25" s="45"/>
      <c r="L25" s="1"/>
      <c r="M25" s="1"/>
    </row>
    <row r="26" spans="1:13">
      <c r="A26" s="1" t="s">
        <v>55</v>
      </c>
      <c r="B26" s="1" t="s">
        <v>358</v>
      </c>
      <c r="C26" s="29">
        <v>60</v>
      </c>
      <c r="D26" s="117" t="s">
        <v>66</v>
      </c>
      <c r="E26" s="117">
        <v>1</v>
      </c>
      <c r="F26" s="117"/>
      <c r="G26" s="261">
        <v>30356</v>
      </c>
      <c r="H26" s="1"/>
      <c r="I26" s="46" t="s">
        <v>60</v>
      </c>
      <c r="J26" s="47">
        <v>1.3</v>
      </c>
      <c r="K26" s="45"/>
      <c r="L26" s="1"/>
      <c r="M26" s="1"/>
    </row>
    <row r="27" spans="1:13">
      <c r="A27" s="1"/>
      <c r="B27" s="1" t="s">
        <v>335</v>
      </c>
      <c r="C27" s="14" t="s">
        <v>83</v>
      </c>
      <c r="D27" s="26" t="s">
        <v>66</v>
      </c>
      <c r="E27" s="48" t="s">
        <v>233</v>
      </c>
      <c r="F27" s="26"/>
      <c r="G27" s="48" t="s">
        <v>91</v>
      </c>
      <c r="H27" s="1"/>
      <c r="I27" s="49" t="s">
        <v>62</v>
      </c>
      <c r="J27" s="50">
        <v>1.5</v>
      </c>
      <c r="K27" s="45"/>
      <c r="L27" s="1"/>
      <c r="M27" s="1"/>
    </row>
    <row r="28" spans="1:1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>
      <c r="A29" s="21" t="s">
        <v>57</v>
      </c>
      <c r="B29" s="1"/>
      <c r="C29" s="1"/>
      <c r="D29" s="1"/>
      <c r="E29" s="1"/>
      <c r="F29" s="1"/>
      <c r="G29" s="1"/>
      <c r="H29" s="1"/>
      <c r="I29" s="51" t="s">
        <v>51</v>
      </c>
      <c r="J29" s="47" t="s">
        <v>52</v>
      </c>
      <c r="K29" s="1"/>
      <c r="L29" s="1"/>
      <c r="M29" s="1"/>
    </row>
    <row r="30" spans="1:13">
      <c r="A30" s="1" t="s">
        <v>58</v>
      </c>
      <c r="B30" s="1"/>
      <c r="C30" s="1"/>
      <c r="D30" s="26" t="s">
        <v>59</v>
      </c>
      <c r="E30" s="117">
        <v>36</v>
      </c>
      <c r="F30" s="26"/>
      <c r="G30" s="7">
        <v>1419</v>
      </c>
      <c r="H30" s="1"/>
      <c r="I30" s="46" t="s">
        <v>90</v>
      </c>
      <c r="J30" s="51">
        <v>64</v>
      </c>
      <c r="K30" s="1"/>
      <c r="L30" s="1"/>
      <c r="M30" s="1"/>
    </row>
    <row r="31" spans="1:13">
      <c r="A31" s="1" t="s">
        <v>61</v>
      </c>
      <c r="B31" s="1"/>
      <c r="C31" s="1"/>
      <c r="D31" s="26" t="s">
        <v>59</v>
      </c>
      <c r="E31" s="117">
        <v>70</v>
      </c>
      <c r="F31" s="26"/>
      <c r="G31" s="1"/>
      <c r="H31" s="1"/>
      <c r="I31" s="49" t="s">
        <v>54</v>
      </c>
      <c r="J31" s="52">
        <v>36</v>
      </c>
      <c r="K31" s="1"/>
      <c r="L31" s="1"/>
      <c r="M31" s="1"/>
    </row>
    <row r="32" spans="1:13">
      <c r="A32" s="1" t="s">
        <v>6</v>
      </c>
      <c r="B32" s="1"/>
      <c r="C32" s="1"/>
      <c r="D32" s="26" t="s">
        <v>59</v>
      </c>
      <c r="E32" s="117">
        <v>106</v>
      </c>
      <c r="F32" s="26"/>
      <c r="G32" s="1"/>
      <c r="H32" s="1"/>
      <c r="I32" s="27"/>
      <c r="J32" s="27"/>
      <c r="K32" s="29"/>
      <c r="L32" s="1"/>
      <c r="M32" s="1"/>
    </row>
    <row r="33" spans="1:13">
      <c r="A33" s="262" t="s">
        <v>63</v>
      </c>
      <c r="B33" s="15"/>
      <c r="C33" s="262" t="s">
        <v>359</v>
      </c>
      <c r="D33" s="15"/>
      <c r="E33" s="15"/>
      <c r="F33" s="15"/>
      <c r="G33" s="15"/>
      <c r="H33" s="1"/>
      <c r="I33" s="1"/>
      <c r="J33" s="1"/>
      <c r="K33" s="1"/>
      <c r="L33" s="1"/>
      <c r="M33" s="1"/>
    </row>
    <row r="34" spans="1:13">
      <c r="C34" s="263" t="s">
        <v>339</v>
      </c>
      <c r="D34" s="264"/>
      <c r="H34" s="1"/>
      <c r="I34" s="1"/>
      <c r="J34" s="1"/>
      <c r="K34" s="1"/>
      <c r="L34" s="1"/>
      <c r="M34" s="1"/>
    </row>
    <row r="35" spans="1:13">
      <c r="A35" s="27" t="s">
        <v>65</v>
      </c>
      <c r="B35" s="3"/>
      <c r="C35" s="31">
        <v>60</v>
      </c>
      <c r="D35" s="32" t="s">
        <v>66</v>
      </c>
      <c r="E35" s="41">
        <v>98</v>
      </c>
      <c r="F35" s="41"/>
      <c r="G35" s="41">
        <v>24</v>
      </c>
      <c r="H35" s="1"/>
      <c r="I35" s="1"/>
      <c r="J35" s="1"/>
      <c r="K35" s="1"/>
      <c r="L35" s="1"/>
      <c r="M35" s="1"/>
    </row>
    <row r="36" spans="1:13">
      <c r="A36" s="27" t="s">
        <v>92</v>
      </c>
      <c r="B36" s="3"/>
      <c r="C36" s="31">
        <v>40</v>
      </c>
      <c r="D36" s="32" t="s">
        <v>66</v>
      </c>
      <c r="E36" s="41">
        <v>151</v>
      </c>
      <c r="F36" s="41"/>
      <c r="G36" s="41">
        <v>25</v>
      </c>
      <c r="H36" s="1"/>
      <c r="I36" s="1"/>
      <c r="J36" s="1"/>
      <c r="K36" s="1"/>
      <c r="L36" s="1"/>
      <c r="M36" s="1"/>
    </row>
    <row r="37" spans="1:13">
      <c r="A37" s="54" t="s">
        <v>93</v>
      </c>
      <c r="B37" s="3"/>
      <c r="C37" s="31">
        <v>43</v>
      </c>
      <c r="D37" s="32" t="s">
        <v>66</v>
      </c>
      <c r="E37" s="41">
        <v>85</v>
      </c>
      <c r="F37" s="32"/>
      <c r="G37" s="265">
        <v>135</v>
      </c>
      <c r="H37" s="1"/>
      <c r="I37" s="1"/>
      <c r="J37" s="1"/>
      <c r="K37" s="1"/>
      <c r="L37" s="1"/>
      <c r="M37" s="1"/>
    </row>
    <row r="38" spans="1:13">
      <c r="A38" s="262" t="s">
        <v>70</v>
      </c>
      <c r="B38" s="15"/>
      <c r="C38" s="15"/>
      <c r="D38" s="15"/>
      <c r="E38" s="15"/>
      <c r="F38" s="15"/>
      <c r="G38" s="266" t="s">
        <v>340</v>
      </c>
      <c r="H38" s="266"/>
      <c r="I38" s="266" t="s">
        <v>341</v>
      </c>
      <c r="K38" s="1"/>
      <c r="L38" s="1"/>
      <c r="M38" s="1"/>
    </row>
    <row r="39" spans="1:13">
      <c r="A39" s="27" t="s">
        <v>342</v>
      </c>
      <c r="B39" s="27"/>
      <c r="C39" s="27"/>
      <c r="D39" s="27"/>
      <c r="E39" s="27"/>
      <c r="F39" s="27"/>
      <c r="G39" s="55">
        <v>5073</v>
      </c>
      <c r="H39" s="1" t="s">
        <v>73</v>
      </c>
      <c r="I39" s="7">
        <v>12535</v>
      </c>
      <c r="K39" s="11"/>
      <c r="L39" s="1"/>
      <c r="M39" s="1"/>
    </row>
    <row r="40" spans="1:13">
      <c r="A40" s="27" t="s">
        <v>343</v>
      </c>
      <c r="B40" s="27"/>
      <c r="C40" s="27"/>
      <c r="D40" s="27"/>
      <c r="E40" s="27"/>
      <c r="F40" s="27"/>
      <c r="G40" s="56">
        <v>145</v>
      </c>
      <c r="H40" s="1"/>
      <c r="I40" s="7"/>
      <c r="K40" s="11"/>
      <c r="L40" s="1"/>
      <c r="M40" s="1"/>
    </row>
    <row r="41" spans="1:13">
      <c r="A41" s="27" t="s">
        <v>360</v>
      </c>
      <c r="B41" s="27"/>
      <c r="C41" s="27"/>
      <c r="D41" s="27"/>
      <c r="E41" s="27"/>
      <c r="F41" s="27"/>
      <c r="G41" s="56">
        <f>+G40*G39</f>
        <v>735585</v>
      </c>
      <c r="H41" s="1"/>
      <c r="I41" s="7">
        <v>1817631</v>
      </c>
      <c r="K41" s="11"/>
      <c r="L41" s="1"/>
      <c r="M41" s="1"/>
    </row>
    <row r="42" spans="1:13">
      <c r="A42" s="27" t="s">
        <v>361</v>
      </c>
      <c r="B42" s="27"/>
      <c r="C42" s="27"/>
      <c r="D42" s="27"/>
      <c r="E42" s="27"/>
      <c r="F42" s="27"/>
      <c r="G42" s="56">
        <f>+G41-K18</f>
        <v>475854</v>
      </c>
      <c r="H42" s="7"/>
      <c r="I42" s="7">
        <v>1175835</v>
      </c>
      <c r="K42" s="11"/>
      <c r="L42" s="1"/>
      <c r="M42" s="1"/>
    </row>
    <row r="43" spans="1:13">
      <c r="A43" s="27" t="s">
        <v>362</v>
      </c>
      <c r="B43" s="27"/>
      <c r="C43" s="27"/>
      <c r="D43" s="27"/>
      <c r="E43" s="27"/>
      <c r="F43" s="27"/>
      <c r="G43" s="56">
        <f>+G41-K19</f>
        <v>576368</v>
      </c>
      <c r="H43" s="7"/>
      <c r="I43" s="7">
        <v>1424205</v>
      </c>
      <c r="K43" s="11"/>
      <c r="L43" s="1"/>
      <c r="M43" s="1"/>
    </row>
    <row r="44" spans="1:13">
      <c r="A44" s="27"/>
      <c r="B44" s="27"/>
      <c r="C44" s="27"/>
      <c r="D44" s="27"/>
      <c r="E44" s="27"/>
      <c r="F44" s="27"/>
      <c r="G44" s="56"/>
      <c r="H44" s="1"/>
      <c r="I44" s="1"/>
      <c r="J44" s="7"/>
      <c r="K44" s="1"/>
      <c r="L44" s="1"/>
      <c r="M44" s="1"/>
    </row>
    <row r="45" spans="1:13">
      <c r="A45" s="27" t="s">
        <v>347</v>
      </c>
      <c r="B45" s="27"/>
      <c r="C45" s="27"/>
      <c r="D45" s="27"/>
      <c r="E45" s="27"/>
      <c r="F45" s="27"/>
      <c r="G45" s="56">
        <f>+K18/G39</f>
        <v>51.198698994677706</v>
      </c>
      <c r="H45" s="1"/>
      <c r="I45" s="1"/>
      <c r="J45" s="1"/>
      <c r="K45" s="1"/>
      <c r="L45" s="1"/>
      <c r="M45" s="1"/>
    </row>
    <row r="46" spans="1:13">
      <c r="A46" s="18" t="s">
        <v>348</v>
      </c>
      <c r="B46" s="18"/>
      <c r="C46" s="18"/>
      <c r="D46" s="18"/>
      <c r="E46" s="18"/>
      <c r="F46" s="18"/>
      <c r="G46" s="57">
        <f>+K19/G39</f>
        <v>31.385176424206584</v>
      </c>
      <c r="H46" s="1"/>
      <c r="I46" s="1"/>
      <c r="J46" s="1"/>
      <c r="K46" s="1"/>
      <c r="L46" s="1"/>
      <c r="M46" s="1"/>
    </row>
    <row r="47" spans="1:13">
      <c r="A47" s="1" t="s">
        <v>234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>
      <c r="A48" s="1"/>
      <c r="B48" s="1"/>
      <c r="C48" s="21"/>
      <c r="D48" s="1"/>
      <c r="E48" s="1"/>
      <c r="F48" s="1"/>
      <c r="G48" s="1"/>
      <c r="H48" s="1"/>
      <c r="I48" s="1"/>
      <c r="J48" s="1"/>
      <c r="K48" s="1"/>
      <c r="L48" s="1"/>
      <c r="M48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3:M51"/>
  <sheetViews>
    <sheetView topLeftCell="A19" workbookViewId="0">
      <selection activeCell="A3" sqref="A3:M51"/>
    </sheetView>
  </sheetViews>
  <sheetFormatPr defaultRowHeight="15"/>
  <sheetData>
    <row r="3" spans="1:13">
      <c r="A3" s="21" t="s">
        <v>0</v>
      </c>
      <c r="B3" s="21" t="s">
        <v>369</v>
      </c>
      <c r="C3" s="21"/>
      <c r="D3" s="21"/>
      <c r="E3" s="21"/>
      <c r="F3" s="21"/>
      <c r="G3" s="21"/>
      <c r="H3" s="21"/>
      <c r="I3" s="21"/>
      <c r="J3" s="21"/>
      <c r="K3" s="21"/>
      <c r="L3" s="21" t="s">
        <v>81</v>
      </c>
      <c r="M3" s="1"/>
    </row>
    <row r="4" spans="1:1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>
      <c r="A6" s="262" t="s">
        <v>4</v>
      </c>
      <c r="B6" s="262"/>
      <c r="C6" s="262"/>
      <c r="D6" s="255" t="s">
        <v>5</v>
      </c>
      <c r="E6" s="255" t="s">
        <v>6</v>
      </c>
      <c r="F6" s="255" t="s">
        <v>7</v>
      </c>
      <c r="G6" s="255" t="s">
        <v>8</v>
      </c>
      <c r="H6" s="255" t="s">
        <v>9</v>
      </c>
      <c r="I6" s="255" t="s">
        <v>10</v>
      </c>
      <c r="J6" s="255" t="s">
        <v>11</v>
      </c>
      <c r="K6" s="255" t="s">
        <v>12</v>
      </c>
      <c r="L6" s="267" t="s">
        <v>319</v>
      </c>
      <c r="M6" s="255"/>
    </row>
    <row r="7" spans="1:13">
      <c r="A7" s="168"/>
      <c r="B7" s="168"/>
      <c r="C7" s="168"/>
      <c r="D7" s="256" t="s">
        <v>320</v>
      </c>
      <c r="E7" s="256" t="s">
        <v>321</v>
      </c>
      <c r="F7" s="256" t="s">
        <v>321</v>
      </c>
      <c r="G7" s="256" t="s">
        <v>322</v>
      </c>
      <c r="H7" s="256" t="s">
        <v>323</v>
      </c>
      <c r="I7" s="256" t="s">
        <v>324</v>
      </c>
      <c r="J7" s="256" t="s">
        <v>328</v>
      </c>
      <c r="K7" s="256" t="s">
        <v>328</v>
      </c>
      <c r="L7" s="268" t="s">
        <v>350</v>
      </c>
      <c r="M7" s="256" t="s">
        <v>351</v>
      </c>
    </row>
    <row r="8" spans="1:13">
      <c r="A8" s="269"/>
      <c r="B8" s="269"/>
      <c r="C8" s="269"/>
      <c r="D8" s="257" t="s">
        <v>21</v>
      </c>
      <c r="E8" s="257"/>
      <c r="F8" s="257"/>
      <c r="G8" s="257"/>
      <c r="H8" s="257" t="s">
        <v>22</v>
      </c>
      <c r="I8" s="257" t="s">
        <v>364</v>
      </c>
      <c r="J8" s="257" t="s">
        <v>352</v>
      </c>
      <c r="K8" s="257" t="s">
        <v>352</v>
      </c>
      <c r="L8" s="257"/>
      <c r="M8" s="257"/>
    </row>
    <row r="9" spans="1:13">
      <c r="A9" s="27" t="s">
        <v>23</v>
      </c>
      <c r="B9" s="27"/>
      <c r="C9" s="27"/>
      <c r="D9" s="32">
        <v>57</v>
      </c>
      <c r="E9" s="171">
        <v>6.7</v>
      </c>
      <c r="F9" s="171">
        <v>6.7</v>
      </c>
      <c r="G9" s="41">
        <v>1388</v>
      </c>
      <c r="H9" s="41">
        <v>9300</v>
      </c>
      <c r="I9" s="32"/>
      <c r="J9" s="41">
        <v>1109</v>
      </c>
      <c r="K9" s="41">
        <f>+J9+I9+H9</f>
        <v>10409</v>
      </c>
      <c r="L9" s="32"/>
      <c r="M9" s="32"/>
    </row>
    <row r="10" spans="1:13">
      <c r="A10" s="1" t="s">
        <v>94</v>
      </c>
      <c r="B10" s="1"/>
      <c r="C10" s="1"/>
      <c r="D10" s="4">
        <v>87</v>
      </c>
      <c r="E10" s="5">
        <v>11.1</v>
      </c>
      <c r="F10" s="5">
        <v>1.7</v>
      </c>
      <c r="G10" s="6">
        <v>1388</v>
      </c>
      <c r="H10" s="41">
        <v>15407</v>
      </c>
      <c r="I10" s="1"/>
      <c r="J10" s="7"/>
      <c r="K10" s="41">
        <f t="shared" ref="K10:K11" si="0">+J10+I10+H10</f>
        <v>15407</v>
      </c>
      <c r="L10" s="1"/>
      <c r="M10" s="1"/>
    </row>
    <row r="11" spans="1:13">
      <c r="A11" s="1" t="s">
        <v>370</v>
      </c>
      <c r="B11" s="1"/>
      <c r="C11" s="1"/>
      <c r="D11" s="4">
        <v>80</v>
      </c>
      <c r="E11" s="5">
        <v>0.9</v>
      </c>
      <c r="F11" s="5">
        <v>0.9</v>
      </c>
      <c r="G11" s="6">
        <v>1500</v>
      </c>
      <c r="H11" s="41">
        <v>1350</v>
      </c>
      <c r="I11" s="7">
        <v>9412</v>
      </c>
      <c r="J11" s="7"/>
      <c r="K11" s="41">
        <f t="shared" si="0"/>
        <v>10762</v>
      </c>
      <c r="L11" s="7">
        <v>1715</v>
      </c>
      <c r="M11" s="1"/>
    </row>
    <row r="12" spans="1:13">
      <c r="A12" s="1" t="s">
        <v>371</v>
      </c>
      <c r="B12" s="1"/>
      <c r="C12" s="1"/>
      <c r="D12" s="8" t="s">
        <v>100</v>
      </c>
      <c r="E12" s="9" t="s">
        <v>235</v>
      </c>
      <c r="F12" s="9" t="s">
        <v>236</v>
      </c>
      <c r="G12" s="10" t="s">
        <v>237</v>
      </c>
      <c r="H12" s="44" t="s">
        <v>238</v>
      </c>
      <c r="I12" s="1"/>
      <c r="J12" s="7"/>
      <c r="K12" s="41"/>
      <c r="L12" s="7"/>
      <c r="M12" s="1"/>
    </row>
    <row r="13" spans="1:13">
      <c r="A13" s="1" t="s">
        <v>101</v>
      </c>
      <c r="B13" s="1"/>
      <c r="C13" s="1"/>
      <c r="D13" s="4">
        <v>100</v>
      </c>
      <c r="E13" s="5">
        <v>12.4</v>
      </c>
      <c r="F13" s="5">
        <v>3.2</v>
      </c>
      <c r="G13" s="6">
        <v>1375</v>
      </c>
      <c r="H13" s="41">
        <v>17050</v>
      </c>
      <c r="I13" s="1"/>
      <c r="J13" s="7">
        <v>5826</v>
      </c>
      <c r="K13" s="41">
        <f>SUM(H13:J13)</f>
        <v>22876</v>
      </c>
      <c r="L13" s="1"/>
      <c r="M13" s="1"/>
    </row>
    <row r="14" spans="1:13">
      <c r="A14" s="1" t="s">
        <v>95</v>
      </c>
      <c r="B14" s="1"/>
      <c r="C14" s="1"/>
      <c r="D14" s="4">
        <v>100</v>
      </c>
      <c r="E14" s="5">
        <v>15.5</v>
      </c>
      <c r="F14" s="5">
        <v>4.4000000000000004</v>
      </c>
      <c r="G14" s="6">
        <v>1375</v>
      </c>
      <c r="H14" s="41">
        <v>21313</v>
      </c>
      <c r="I14" s="1"/>
      <c r="J14" s="42">
        <v>7327</v>
      </c>
      <c r="K14" s="41">
        <f t="shared" ref="K14:K18" si="1">SUM(H14:J14)</f>
        <v>28640</v>
      </c>
      <c r="L14" s="11"/>
      <c r="M14" s="7"/>
    </row>
    <row r="15" spans="1:13">
      <c r="A15" s="1" t="s">
        <v>86</v>
      </c>
      <c r="B15" s="1"/>
      <c r="C15" s="1"/>
      <c r="D15" s="4">
        <v>100</v>
      </c>
      <c r="E15" s="5">
        <v>9.1999999999999993</v>
      </c>
      <c r="F15" s="5">
        <v>4</v>
      </c>
      <c r="G15" s="6">
        <v>1375</v>
      </c>
      <c r="H15" s="41">
        <v>12650</v>
      </c>
      <c r="I15" s="1"/>
      <c r="J15" s="7">
        <f>+G38*E38+G39*E39</f>
        <v>10898</v>
      </c>
      <c r="K15" s="41">
        <f t="shared" si="1"/>
        <v>23548</v>
      </c>
      <c r="L15" s="1"/>
      <c r="M15" s="1"/>
    </row>
    <row r="16" spans="1:13">
      <c r="A16" s="1" t="s">
        <v>37</v>
      </c>
      <c r="B16" s="1"/>
      <c r="C16" s="1"/>
      <c r="D16" s="4">
        <v>100</v>
      </c>
      <c r="E16" s="5">
        <v>14.8</v>
      </c>
      <c r="F16" s="5">
        <v>1.9</v>
      </c>
      <c r="G16" s="6">
        <v>1375</v>
      </c>
      <c r="H16" s="41">
        <v>20350</v>
      </c>
      <c r="I16" s="1"/>
      <c r="J16" s="7"/>
      <c r="K16" s="41">
        <f t="shared" si="1"/>
        <v>20350</v>
      </c>
      <c r="L16" s="1"/>
      <c r="M16" s="1"/>
    </row>
    <row r="17" spans="1:13">
      <c r="A17" s="1" t="s">
        <v>134</v>
      </c>
      <c r="B17" s="1"/>
      <c r="C17" s="1"/>
      <c r="D17" s="4">
        <v>100</v>
      </c>
      <c r="E17" s="5">
        <v>7.6</v>
      </c>
      <c r="F17" s="5">
        <v>3.7</v>
      </c>
      <c r="G17" s="6">
        <v>1487</v>
      </c>
      <c r="H17" s="41">
        <v>11301</v>
      </c>
      <c r="I17" s="1"/>
      <c r="J17" s="7">
        <v>14220</v>
      </c>
      <c r="K17" s="41">
        <f t="shared" si="1"/>
        <v>25521</v>
      </c>
      <c r="L17" s="1"/>
      <c r="M17" s="1"/>
    </row>
    <row r="18" spans="1:13">
      <c r="A18" s="1" t="s">
        <v>331</v>
      </c>
      <c r="B18" s="1"/>
      <c r="C18" s="1"/>
      <c r="D18" s="4">
        <v>100</v>
      </c>
      <c r="E18" s="5">
        <v>18.5</v>
      </c>
      <c r="F18" s="5">
        <v>14.5</v>
      </c>
      <c r="G18" s="6">
        <v>1375</v>
      </c>
      <c r="H18" s="41">
        <v>25438</v>
      </c>
      <c r="I18" s="7">
        <v>12590</v>
      </c>
      <c r="J18" s="7"/>
      <c r="K18" s="41">
        <f t="shared" si="1"/>
        <v>38028</v>
      </c>
      <c r="L18" s="1"/>
      <c r="M18" s="1"/>
    </row>
    <row r="19" spans="1:13">
      <c r="A19" s="1" t="s">
        <v>102</v>
      </c>
      <c r="B19" s="1"/>
      <c r="C19" s="1"/>
      <c r="D19" s="8" t="s">
        <v>27</v>
      </c>
      <c r="E19" s="9" t="s">
        <v>103</v>
      </c>
      <c r="F19" s="9" t="s">
        <v>104</v>
      </c>
      <c r="G19" s="10" t="s">
        <v>105</v>
      </c>
      <c r="H19" s="44" t="s">
        <v>106</v>
      </c>
      <c r="I19" s="1"/>
      <c r="J19" s="7"/>
      <c r="K19" s="41"/>
      <c r="L19" s="1"/>
      <c r="M19" s="1"/>
    </row>
    <row r="20" spans="1:13">
      <c r="A20" s="15" t="s">
        <v>333</v>
      </c>
      <c r="B20" s="15"/>
      <c r="C20" s="15"/>
      <c r="D20" s="16"/>
      <c r="E20" s="17">
        <f>SUM(E9:E19)</f>
        <v>96.699999999999989</v>
      </c>
      <c r="F20" s="17">
        <f t="shared" ref="F20:G20" si="2">SUM(F9:F19)</f>
        <v>41</v>
      </c>
      <c r="G20" s="17">
        <f t="shared" si="2"/>
        <v>12638</v>
      </c>
      <c r="H20" s="17">
        <f>SUM(H9:H19)</f>
        <v>134159</v>
      </c>
      <c r="I20" s="17">
        <f t="shared" ref="I20:M20" si="3">SUM(I9:I19)</f>
        <v>22002</v>
      </c>
      <c r="J20" s="17">
        <f t="shared" si="3"/>
        <v>39380</v>
      </c>
      <c r="K20" s="17">
        <f t="shared" si="3"/>
        <v>195541</v>
      </c>
      <c r="L20" s="17">
        <f t="shared" si="3"/>
        <v>1715</v>
      </c>
      <c r="M20" s="17">
        <f t="shared" si="3"/>
        <v>0</v>
      </c>
    </row>
    <row r="21" spans="1:13">
      <c r="A21" s="18" t="s">
        <v>334</v>
      </c>
      <c r="B21" s="18"/>
      <c r="C21" s="18"/>
      <c r="D21" s="19"/>
      <c r="E21" s="20">
        <f>SUM(E20-F20)</f>
        <v>55.699999999999989</v>
      </c>
      <c r="F21" s="20"/>
      <c r="G21" s="20"/>
      <c r="H21" s="20">
        <f>+G32*E32</f>
        <v>77448</v>
      </c>
      <c r="I21" s="20">
        <f>I20-L20</f>
        <v>20287</v>
      </c>
      <c r="J21" s="20">
        <f>J20-M20</f>
        <v>39380</v>
      </c>
      <c r="K21" s="20">
        <f>SUM(H21:J21)</f>
        <v>137115</v>
      </c>
      <c r="L21" s="18"/>
      <c r="M21" s="18"/>
    </row>
    <row r="22" spans="1:13">
      <c r="A22" s="1" t="s">
        <v>107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s="1"/>
      <c r="B23" s="1"/>
      <c r="C23" s="1" t="s">
        <v>45</v>
      </c>
      <c r="D23" s="1"/>
      <c r="E23" s="1"/>
      <c r="F23" s="1"/>
      <c r="G23" s="1"/>
      <c r="H23" s="1"/>
      <c r="I23" s="7"/>
      <c r="J23" s="7"/>
      <c r="K23" s="7"/>
      <c r="L23" s="1"/>
      <c r="M23" s="1"/>
    </row>
    <row r="24" spans="1:13">
      <c r="A24" s="1"/>
      <c r="B24" s="1"/>
      <c r="C24" s="1"/>
      <c r="D24" s="1"/>
      <c r="E24" s="1"/>
      <c r="F24" s="1"/>
      <c r="G24" s="1"/>
      <c r="H24" s="1"/>
      <c r="I24" s="1"/>
      <c r="J24" s="1"/>
      <c r="K24" s="7"/>
      <c r="L24" s="1"/>
      <c r="M24" s="1"/>
    </row>
    <row r="25" spans="1:13">
      <c r="A25" s="21" t="s">
        <v>46</v>
      </c>
      <c r="B25" s="21"/>
      <c r="C25" s="21"/>
      <c r="D25" s="21"/>
      <c r="E25" s="21"/>
      <c r="F25" s="21"/>
      <c r="G25" s="21"/>
      <c r="H25" s="1"/>
      <c r="I25" s="1"/>
      <c r="J25" s="1"/>
      <c r="K25" s="7"/>
      <c r="L25" s="1"/>
      <c r="M25" s="1"/>
    </row>
    <row r="26" spans="1:13">
      <c r="A26" s="260" t="s">
        <v>47</v>
      </c>
      <c r="B26" s="260"/>
      <c r="C26" s="271" t="s">
        <v>52</v>
      </c>
      <c r="D26" s="272" t="s">
        <v>48</v>
      </c>
      <c r="E26" s="272" t="s">
        <v>49</v>
      </c>
      <c r="F26" s="272"/>
      <c r="G26" s="272" t="s">
        <v>89</v>
      </c>
      <c r="H26" s="26"/>
      <c r="I26" s="1"/>
      <c r="J26" s="1"/>
      <c r="K26" s="45"/>
      <c r="L26" s="1"/>
      <c r="M26" s="1"/>
    </row>
    <row r="27" spans="1:13">
      <c r="A27" s="21" t="s">
        <v>53</v>
      </c>
      <c r="B27" s="1"/>
      <c r="C27" s="29"/>
      <c r="D27" s="1"/>
      <c r="E27" s="1"/>
      <c r="F27" s="1"/>
      <c r="G27" s="1"/>
      <c r="H27" s="1"/>
      <c r="I27" s="1"/>
      <c r="J27" s="1"/>
      <c r="K27" s="45"/>
      <c r="L27" s="1"/>
      <c r="M27" s="1"/>
    </row>
    <row r="28" spans="1:13">
      <c r="A28" s="1" t="s">
        <v>55</v>
      </c>
      <c r="B28" s="1"/>
      <c r="C28" s="29">
        <v>57</v>
      </c>
      <c r="D28" s="117" t="s">
        <v>66</v>
      </c>
      <c r="E28" s="273">
        <v>8.4000000000000005E-2</v>
      </c>
      <c r="F28" s="117"/>
      <c r="G28" s="117">
        <v>87222</v>
      </c>
      <c r="H28" s="1"/>
      <c r="I28" s="46" t="s">
        <v>60</v>
      </c>
      <c r="J28" s="47">
        <v>0.64</v>
      </c>
      <c r="K28" s="45"/>
      <c r="L28" s="1"/>
      <c r="M28" s="1"/>
    </row>
    <row r="29" spans="1:13">
      <c r="A29" s="1" t="s">
        <v>108</v>
      </c>
      <c r="B29" s="1"/>
      <c r="C29" s="14" t="s">
        <v>372</v>
      </c>
      <c r="D29" s="26" t="s">
        <v>109</v>
      </c>
      <c r="E29" s="48" t="s">
        <v>110</v>
      </c>
      <c r="F29" s="26"/>
      <c r="G29" s="48" t="s">
        <v>111</v>
      </c>
      <c r="H29" s="1"/>
      <c r="I29" s="49" t="s">
        <v>62</v>
      </c>
      <c r="J29" s="50">
        <v>0.5</v>
      </c>
      <c r="K29" s="45"/>
      <c r="L29" s="1"/>
      <c r="M29" s="1"/>
    </row>
    <row r="30" spans="1:13">
      <c r="A30" s="1"/>
      <c r="B30" s="1"/>
      <c r="C30" s="1"/>
      <c r="D30" s="26"/>
      <c r="E30" s="26"/>
      <c r="F30" s="26"/>
      <c r="G30" s="26"/>
      <c r="H30" s="1"/>
      <c r="I30" s="1"/>
      <c r="J30" s="1"/>
      <c r="K30" s="1"/>
      <c r="L30" s="1"/>
      <c r="M30" s="1"/>
    </row>
    <row r="31" spans="1:13">
      <c r="A31" s="21" t="s">
        <v>57</v>
      </c>
      <c r="B31" s="1"/>
      <c r="C31" s="1"/>
      <c r="D31" s="26"/>
      <c r="E31" s="26"/>
      <c r="F31" s="26"/>
      <c r="G31" s="26"/>
      <c r="H31" s="1"/>
      <c r="I31" s="51" t="s">
        <v>51</v>
      </c>
      <c r="J31" s="47" t="s">
        <v>52</v>
      </c>
      <c r="K31" s="1"/>
      <c r="L31" s="1"/>
      <c r="M31" s="1"/>
    </row>
    <row r="32" spans="1:13">
      <c r="A32" s="1" t="s">
        <v>270</v>
      </c>
      <c r="B32" s="1"/>
      <c r="C32" s="1"/>
      <c r="D32" s="26" t="s">
        <v>59</v>
      </c>
      <c r="E32" s="117">
        <v>56</v>
      </c>
      <c r="F32" s="26"/>
      <c r="G32" s="117">
        <v>1383</v>
      </c>
      <c r="H32" s="1"/>
      <c r="I32" s="51" t="s">
        <v>112</v>
      </c>
      <c r="J32" s="51">
        <v>72</v>
      </c>
      <c r="K32" s="1"/>
      <c r="L32" s="1"/>
      <c r="M32" s="1"/>
    </row>
    <row r="33" spans="1:13">
      <c r="A33" s="1" t="s">
        <v>337</v>
      </c>
      <c r="B33" s="1"/>
      <c r="C33" s="1"/>
      <c r="D33" s="26" t="s">
        <v>59</v>
      </c>
      <c r="E33" s="117">
        <v>41</v>
      </c>
      <c r="F33" s="26"/>
      <c r="G33" s="26"/>
      <c r="H33" s="1"/>
      <c r="I33" s="52" t="s">
        <v>113</v>
      </c>
      <c r="J33" s="52">
        <v>28</v>
      </c>
      <c r="K33" s="1"/>
      <c r="L33" s="1"/>
      <c r="M33" s="1"/>
    </row>
    <row r="34" spans="1:13">
      <c r="A34" s="1" t="s">
        <v>6</v>
      </c>
      <c r="B34" s="1"/>
      <c r="C34" s="1"/>
      <c r="D34" s="26"/>
      <c r="E34" s="117">
        <f>SUM(E32:E33)</f>
        <v>97</v>
      </c>
      <c r="F34" s="26"/>
      <c r="G34" s="26"/>
      <c r="H34" s="1"/>
      <c r="I34" s="27"/>
      <c r="J34" s="27"/>
      <c r="K34" s="29"/>
      <c r="L34" s="1"/>
      <c r="M34" s="1"/>
    </row>
    <row r="35" spans="1:13">
      <c r="A35" s="1"/>
      <c r="B35" s="1"/>
      <c r="C35" s="1"/>
      <c r="D35" s="26"/>
      <c r="E35" s="26"/>
      <c r="F35" s="26"/>
      <c r="G35" s="26"/>
      <c r="H35" s="1"/>
      <c r="I35" s="1"/>
      <c r="J35" s="1"/>
      <c r="K35" s="1"/>
      <c r="L35" s="1"/>
      <c r="M35" s="1"/>
    </row>
    <row r="36" spans="1:13">
      <c r="A36" s="262" t="s">
        <v>63</v>
      </c>
      <c r="B36" s="15"/>
      <c r="C36" s="262" t="s">
        <v>338</v>
      </c>
      <c r="D36" s="262"/>
      <c r="E36" s="15"/>
      <c r="F36" s="15"/>
      <c r="G36" s="15"/>
      <c r="H36" s="1"/>
      <c r="I36" s="1"/>
      <c r="J36" s="1"/>
      <c r="K36" s="1"/>
      <c r="L36" s="1"/>
      <c r="M36" s="1"/>
    </row>
    <row r="37" spans="1:13">
      <c r="A37" s="27"/>
      <c r="B37" s="3"/>
      <c r="C37" s="270" t="s">
        <v>339</v>
      </c>
      <c r="D37" s="274"/>
      <c r="E37" s="27"/>
      <c r="F37" s="27"/>
      <c r="G37" s="34"/>
      <c r="H37" s="1"/>
      <c r="I37" s="1"/>
      <c r="J37" s="1"/>
      <c r="K37" s="1"/>
      <c r="L37" s="1"/>
      <c r="M37" s="1"/>
    </row>
    <row r="38" spans="1:13">
      <c r="A38" s="3" t="s">
        <v>67</v>
      </c>
      <c r="B38" s="32"/>
      <c r="C38" s="31">
        <v>40</v>
      </c>
      <c r="D38" s="32" t="s">
        <v>66</v>
      </c>
      <c r="E38" s="41">
        <v>74</v>
      </c>
      <c r="F38" s="41"/>
      <c r="G38" s="41">
        <v>25</v>
      </c>
      <c r="H38" s="1"/>
      <c r="I38" s="1"/>
      <c r="J38" s="1"/>
      <c r="K38" s="1"/>
      <c r="L38" s="1"/>
      <c r="M38" s="1"/>
    </row>
    <row r="39" spans="1:13">
      <c r="A39" s="3" t="s">
        <v>92</v>
      </c>
      <c r="B39" s="32"/>
      <c r="C39" s="31">
        <v>83</v>
      </c>
      <c r="D39" s="32" t="s">
        <v>66</v>
      </c>
      <c r="E39" s="41">
        <v>377</v>
      </c>
      <c r="F39" s="41"/>
      <c r="G39" s="41">
        <v>24</v>
      </c>
      <c r="H39" s="1"/>
      <c r="I39" s="1"/>
      <c r="J39" s="1"/>
      <c r="K39" s="1"/>
      <c r="L39" s="1"/>
      <c r="M39" s="1"/>
    </row>
    <row r="40" spans="1:13">
      <c r="A40" s="30"/>
      <c r="B40" s="3"/>
      <c r="C40" s="30"/>
      <c r="D40" s="27"/>
      <c r="E40" s="30"/>
      <c r="F40" s="27"/>
      <c r="G40" s="30"/>
      <c r="H40" s="1"/>
      <c r="I40" s="1"/>
      <c r="J40" s="1"/>
      <c r="K40" s="1"/>
      <c r="L40" s="1"/>
      <c r="M40" s="1"/>
    </row>
    <row r="41" spans="1:13">
      <c r="A41" s="262" t="s">
        <v>70</v>
      </c>
      <c r="B41" s="15"/>
      <c r="C41" s="15"/>
      <c r="D41" s="15"/>
      <c r="E41" s="15"/>
      <c r="F41" s="15"/>
      <c r="G41" s="255" t="s">
        <v>340</v>
      </c>
      <c r="H41" s="266"/>
      <c r="I41" s="266"/>
      <c r="J41" s="266" t="s">
        <v>341</v>
      </c>
      <c r="K41" s="1"/>
      <c r="L41" s="1"/>
      <c r="M41" s="1"/>
    </row>
    <row r="42" spans="1:13">
      <c r="A42" s="27" t="s">
        <v>342</v>
      </c>
      <c r="B42" s="27"/>
      <c r="C42" s="27"/>
      <c r="D42" s="27"/>
      <c r="E42" s="27"/>
      <c r="F42" s="27"/>
      <c r="G42" s="55">
        <v>7636</v>
      </c>
      <c r="H42" s="1"/>
      <c r="I42" s="1"/>
      <c r="J42" s="7">
        <v>18869</v>
      </c>
      <c r="K42" s="11"/>
      <c r="L42" s="1"/>
      <c r="M42" s="1"/>
    </row>
    <row r="43" spans="1:13">
      <c r="A43" s="27" t="s">
        <v>343</v>
      </c>
      <c r="B43" s="27"/>
      <c r="C43" s="27"/>
      <c r="D43" s="27"/>
      <c r="E43" s="27"/>
      <c r="F43" s="27"/>
      <c r="G43" s="56">
        <v>64</v>
      </c>
      <c r="H43" s="1"/>
      <c r="I43" s="1"/>
      <c r="J43" s="7"/>
      <c r="K43" s="11"/>
      <c r="L43" s="1"/>
      <c r="M43" s="1"/>
    </row>
    <row r="44" spans="1:13">
      <c r="A44" s="27" t="s">
        <v>360</v>
      </c>
      <c r="B44" s="27"/>
      <c r="C44" s="27"/>
      <c r="D44" s="27"/>
      <c r="E44" s="27"/>
      <c r="F44" s="27"/>
      <c r="G44" s="56">
        <f>+G43*G42</f>
        <v>488704</v>
      </c>
      <c r="H44" s="1"/>
      <c r="I44" s="1"/>
      <c r="J44" s="7">
        <v>1207588</v>
      </c>
      <c r="K44" s="11"/>
      <c r="L44" s="1"/>
      <c r="M44" s="1"/>
    </row>
    <row r="45" spans="1:13">
      <c r="A45" s="27" t="s">
        <v>361</v>
      </c>
      <c r="B45" s="27"/>
      <c r="C45" s="27"/>
      <c r="D45" s="27"/>
      <c r="E45" s="27"/>
      <c r="F45" s="27"/>
      <c r="G45" s="56">
        <f>+G44-K20</f>
        <v>293163</v>
      </c>
      <c r="H45" s="1"/>
      <c r="I45" s="1"/>
      <c r="J45" s="7">
        <v>724406</v>
      </c>
      <c r="K45" s="11"/>
      <c r="L45" s="1"/>
      <c r="M45" s="1"/>
    </row>
    <row r="46" spans="1:13">
      <c r="A46" s="27" t="s">
        <v>362</v>
      </c>
      <c r="B46" s="27"/>
      <c r="C46" s="27"/>
      <c r="D46" s="27"/>
      <c r="E46" s="27"/>
      <c r="F46" s="27"/>
      <c r="G46" s="56">
        <f>+G44-K21</f>
        <v>351589</v>
      </c>
      <c r="H46" s="1"/>
      <c r="I46" s="1"/>
      <c r="J46" s="7">
        <v>868776</v>
      </c>
      <c r="K46" s="11"/>
      <c r="L46" s="1"/>
      <c r="M46" s="1"/>
    </row>
    <row r="47" spans="1:13">
      <c r="A47" s="27"/>
      <c r="B47" s="27"/>
      <c r="C47" s="27"/>
      <c r="D47" s="27"/>
      <c r="E47" s="27"/>
      <c r="F47" s="27"/>
      <c r="G47" s="56"/>
      <c r="H47" s="1"/>
      <c r="I47" s="1"/>
      <c r="J47" s="1"/>
      <c r="K47" s="1"/>
      <c r="L47" s="1"/>
      <c r="M47" s="1"/>
    </row>
    <row r="48" spans="1:13">
      <c r="A48" s="27" t="s">
        <v>347</v>
      </c>
      <c r="B48" s="27"/>
      <c r="C48" s="27"/>
      <c r="D48" s="27"/>
      <c r="E48" s="27"/>
      <c r="F48" s="27"/>
      <c r="G48" s="56">
        <f>+K20/G42</f>
        <v>25.607778941854374</v>
      </c>
      <c r="H48" s="1"/>
      <c r="I48" s="1"/>
      <c r="J48" s="1"/>
      <c r="K48" s="1"/>
      <c r="L48" s="1"/>
      <c r="M48" s="1"/>
    </row>
    <row r="49" spans="1:13">
      <c r="A49" s="18" t="s">
        <v>348</v>
      </c>
      <c r="B49" s="18"/>
      <c r="C49" s="18"/>
      <c r="D49" s="18"/>
      <c r="E49" s="18"/>
      <c r="F49" s="18"/>
      <c r="G49" s="57">
        <f>+K21/G42</f>
        <v>17.956390780513356</v>
      </c>
      <c r="H49" s="1"/>
      <c r="I49" s="1"/>
      <c r="J49" s="1"/>
      <c r="K49" s="1"/>
      <c r="L49" s="1"/>
      <c r="M49" s="1"/>
    </row>
    <row r="50" spans="1:13">
      <c r="A50" s="1" t="s">
        <v>239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3:N88"/>
  <sheetViews>
    <sheetView topLeftCell="A13" workbookViewId="0">
      <selection activeCell="A4" sqref="A4:M49"/>
    </sheetView>
  </sheetViews>
  <sheetFormatPr defaultRowHeight="15"/>
  <sheetData>
    <row r="3" spans="1:14">
      <c r="A3" s="170"/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</row>
    <row r="4" spans="1:14">
      <c r="A4" s="21" t="s">
        <v>0</v>
      </c>
      <c r="B4" s="21" t="s">
        <v>373</v>
      </c>
      <c r="C4" s="21"/>
      <c r="D4" s="21"/>
      <c r="E4" s="21"/>
      <c r="F4" s="21"/>
      <c r="G4" s="21"/>
      <c r="H4" s="21"/>
      <c r="I4" s="21"/>
      <c r="J4" s="21" t="s">
        <v>81</v>
      </c>
      <c r="K4" s="1"/>
      <c r="L4" s="1"/>
      <c r="M4" s="1"/>
      <c r="N4" s="170"/>
    </row>
    <row r="5" spans="1:1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70"/>
    </row>
    <row r="6" spans="1:1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0"/>
    </row>
    <row r="7" spans="1:14">
      <c r="A7" s="262" t="s">
        <v>4</v>
      </c>
      <c r="B7" s="262"/>
      <c r="C7" s="262"/>
      <c r="D7" s="255" t="s">
        <v>5</v>
      </c>
      <c r="E7" s="255" t="s">
        <v>6</v>
      </c>
      <c r="F7" s="255" t="s">
        <v>7</v>
      </c>
      <c r="G7" s="255" t="s">
        <v>8</v>
      </c>
      <c r="H7" s="255" t="s">
        <v>9</v>
      </c>
      <c r="I7" s="255" t="s">
        <v>10</v>
      </c>
      <c r="J7" s="255" t="s">
        <v>11</v>
      </c>
      <c r="K7" s="255" t="s">
        <v>12</v>
      </c>
      <c r="L7" s="255" t="s">
        <v>319</v>
      </c>
      <c r="M7" s="255"/>
      <c r="N7" s="170"/>
    </row>
    <row r="8" spans="1:14">
      <c r="A8" s="168"/>
      <c r="B8" s="168"/>
      <c r="C8" s="168"/>
      <c r="D8" s="256" t="s">
        <v>320</v>
      </c>
      <c r="E8" s="256" t="s">
        <v>321</v>
      </c>
      <c r="F8" s="256" t="s">
        <v>321</v>
      </c>
      <c r="G8" s="256" t="s">
        <v>322</v>
      </c>
      <c r="H8" s="256" t="s">
        <v>323</v>
      </c>
      <c r="I8" s="256" t="s">
        <v>324</v>
      </c>
      <c r="J8" s="256" t="s">
        <v>328</v>
      </c>
      <c r="K8" s="256" t="s">
        <v>328</v>
      </c>
      <c r="L8" s="256" t="s">
        <v>350</v>
      </c>
      <c r="M8" s="256" t="s">
        <v>351</v>
      </c>
      <c r="N8" s="170"/>
    </row>
    <row r="9" spans="1:14">
      <c r="A9" s="269"/>
      <c r="B9" s="269"/>
      <c r="C9" s="269"/>
      <c r="D9" s="257" t="s">
        <v>21</v>
      </c>
      <c r="E9" s="257"/>
      <c r="F9" s="257"/>
      <c r="G9" s="257"/>
      <c r="H9" s="257" t="s">
        <v>22</v>
      </c>
      <c r="I9" s="257" t="s">
        <v>364</v>
      </c>
      <c r="J9" s="257" t="s">
        <v>352</v>
      </c>
      <c r="K9" s="257" t="s">
        <v>352</v>
      </c>
      <c r="L9" s="257"/>
      <c r="M9" s="257"/>
      <c r="N9" s="170"/>
    </row>
    <row r="10" spans="1:14">
      <c r="A10" s="1" t="s">
        <v>94</v>
      </c>
      <c r="B10" s="1"/>
      <c r="C10" s="1"/>
      <c r="D10" s="275">
        <v>100</v>
      </c>
      <c r="E10" s="117">
        <v>11.6</v>
      </c>
      <c r="F10" s="117">
        <v>3.1</v>
      </c>
      <c r="G10" s="276">
        <v>1518</v>
      </c>
      <c r="H10" s="117">
        <v>17609</v>
      </c>
      <c r="I10" s="117"/>
      <c r="J10" s="117"/>
      <c r="K10" s="117">
        <f>+J10+I10+H10</f>
        <v>17609</v>
      </c>
      <c r="L10" s="26"/>
      <c r="M10" s="26"/>
      <c r="N10" s="170"/>
    </row>
    <row r="11" spans="1:14">
      <c r="A11" s="1" t="s">
        <v>370</v>
      </c>
      <c r="B11" s="1"/>
      <c r="C11" s="1"/>
      <c r="D11" s="275">
        <v>100</v>
      </c>
      <c r="E11" s="117">
        <v>1.4</v>
      </c>
      <c r="F11" s="117">
        <v>1.4</v>
      </c>
      <c r="G11" s="276">
        <v>1500</v>
      </c>
      <c r="H11" s="117">
        <v>2100</v>
      </c>
      <c r="I11" s="261">
        <v>9535</v>
      </c>
      <c r="J11" s="117"/>
      <c r="K11" s="117">
        <f t="shared" ref="K11:K18" si="0">+J11+I11+H11</f>
        <v>11635</v>
      </c>
      <c r="L11" s="117">
        <v>2173</v>
      </c>
      <c r="M11" s="26"/>
      <c r="N11" s="170"/>
    </row>
    <row r="12" spans="1:14">
      <c r="A12" s="1" t="s">
        <v>101</v>
      </c>
      <c r="B12" s="1"/>
      <c r="C12" s="1"/>
      <c r="D12" s="275">
        <v>100</v>
      </c>
      <c r="E12" s="117">
        <v>20</v>
      </c>
      <c r="F12" s="117">
        <v>3</v>
      </c>
      <c r="G12" s="277">
        <v>1278</v>
      </c>
      <c r="H12" s="117">
        <f>+G12*E12</f>
        <v>25560</v>
      </c>
      <c r="I12" s="117"/>
      <c r="J12" s="278">
        <v>5578</v>
      </c>
      <c r="K12" s="117">
        <f t="shared" si="0"/>
        <v>31138</v>
      </c>
      <c r="L12" s="26"/>
      <c r="M12" s="26"/>
      <c r="N12" s="170"/>
    </row>
    <row r="13" spans="1:14">
      <c r="A13" s="1" t="s">
        <v>114</v>
      </c>
      <c r="B13" s="1"/>
      <c r="C13" s="1"/>
      <c r="D13" s="275">
        <v>100</v>
      </c>
      <c r="E13" s="117">
        <v>14.3</v>
      </c>
      <c r="F13" s="117">
        <v>1.3</v>
      </c>
      <c r="G13" s="276">
        <v>1377</v>
      </c>
      <c r="H13" s="117">
        <v>19691</v>
      </c>
      <c r="I13" s="117"/>
      <c r="J13" s="117">
        <v>13702</v>
      </c>
      <c r="K13" s="117">
        <f t="shared" si="0"/>
        <v>33393</v>
      </c>
      <c r="L13" s="118"/>
      <c r="M13" s="117"/>
      <c r="N13" s="170"/>
    </row>
    <row r="14" spans="1:14">
      <c r="A14" s="1" t="s">
        <v>86</v>
      </c>
      <c r="B14" s="1"/>
      <c r="C14" s="1"/>
      <c r="D14" s="275">
        <v>100</v>
      </c>
      <c r="E14" s="117">
        <v>19.2</v>
      </c>
      <c r="F14" s="117">
        <v>7.7</v>
      </c>
      <c r="G14" s="277">
        <v>1453</v>
      </c>
      <c r="H14" s="117">
        <v>27898</v>
      </c>
      <c r="I14" s="117"/>
      <c r="J14" s="117">
        <v>17570</v>
      </c>
      <c r="K14" s="117">
        <f t="shared" si="0"/>
        <v>45468</v>
      </c>
      <c r="L14" s="26"/>
      <c r="M14" s="26"/>
      <c r="N14" s="170"/>
    </row>
    <row r="15" spans="1:14">
      <c r="A15" s="1" t="s">
        <v>374</v>
      </c>
      <c r="B15" s="1"/>
      <c r="C15" s="1"/>
      <c r="D15" s="275">
        <v>100</v>
      </c>
      <c r="E15" s="117">
        <v>19.600000000000001</v>
      </c>
      <c r="F15" s="117">
        <v>2.5</v>
      </c>
      <c r="G15" s="277">
        <v>1057</v>
      </c>
      <c r="H15" s="117">
        <v>20717</v>
      </c>
      <c r="I15" s="117"/>
      <c r="J15" s="117"/>
      <c r="K15" s="117">
        <f t="shared" si="0"/>
        <v>20717</v>
      </c>
      <c r="L15" s="26"/>
      <c r="M15" s="26"/>
      <c r="N15" s="170"/>
    </row>
    <row r="16" spans="1:14">
      <c r="A16" s="1" t="s">
        <v>134</v>
      </c>
      <c r="B16" s="1"/>
      <c r="C16" s="1"/>
      <c r="D16" s="275">
        <v>100</v>
      </c>
      <c r="E16" s="117">
        <v>6.8</v>
      </c>
      <c r="F16" s="117">
        <v>5.3</v>
      </c>
      <c r="G16" s="277">
        <v>1500</v>
      </c>
      <c r="H16" s="117">
        <v>10200</v>
      </c>
      <c r="I16" s="117"/>
      <c r="J16" s="261">
        <v>11812</v>
      </c>
      <c r="K16" s="117">
        <f t="shared" si="0"/>
        <v>22012</v>
      </c>
      <c r="L16" s="26"/>
      <c r="M16" s="26"/>
      <c r="N16" s="170"/>
    </row>
    <row r="17" spans="1:14">
      <c r="A17" s="1" t="s">
        <v>331</v>
      </c>
      <c r="B17" s="1"/>
      <c r="C17" s="1"/>
      <c r="D17" s="275">
        <v>100</v>
      </c>
      <c r="E17" s="261">
        <v>23.8</v>
      </c>
      <c r="F17" s="117">
        <v>19.8</v>
      </c>
      <c r="G17" s="276">
        <v>1278</v>
      </c>
      <c r="H17" s="117">
        <v>30416</v>
      </c>
      <c r="I17" s="261"/>
      <c r="J17" s="117"/>
      <c r="K17" s="117">
        <f t="shared" si="0"/>
        <v>30416</v>
      </c>
      <c r="L17" s="26"/>
      <c r="M17" s="26"/>
      <c r="N17" s="170"/>
    </row>
    <row r="18" spans="1:14">
      <c r="A18" s="1" t="s">
        <v>115</v>
      </c>
      <c r="B18" s="1"/>
      <c r="C18" s="1"/>
      <c r="D18" s="275">
        <v>100</v>
      </c>
      <c r="E18" s="117"/>
      <c r="F18" s="117"/>
      <c r="G18" s="277"/>
      <c r="H18" s="117"/>
      <c r="I18" s="117"/>
      <c r="J18" s="117"/>
      <c r="K18" s="117">
        <f t="shared" si="0"/>
        <v>0</v>
      </c>
      <c r="L18" s="26"/>
      <c r="M18" s="26"/>
      <c r="N18" s="170"/>
    </row>
    <row r="19" spans="1:14">
      <c r="A19" s="15" t="s">
        <v>333</v>
      </c>
      <c r="B19" s="15"/>
      <c r="C19" s="15"/>
      <c r="D19" s="279"/>
      <c r="E19" s="280">
        <f>SUM(E10:E18)</f>
        <v>116.69999999999999</v>
      </c>
      <c r="F19" s="280">
        <f>SUM(F10:F18)</f>
        <v>44.1</v>
      </c>
      <c r="G19" s="280"/>
      <c r="H19" s="280">
        <f>SUM(H10:H18)</f>
        <v>154191</v>
      </c>
      <c r="I19" s="280">
        <f t="shared" ref="I19:M19" si="1">SUM(I10:I18)</f>
        <v>9535</v>
      </c>
      <c r="J19" s="280">
        <f t="shared" si="1"/>
        <v>48662</v>
      </c>
      <c r="K19" s="280">
        <f t="shared" si="1"/>
        <v>212388</v>
      </c>
      <c r="L19" s="280">
        <f t="shared" si="1"/>
        <v>2173</v>
      </c>
      <c r="M19" s="280">
        <f t="shared" si="1"/>
        <v>0</v>
      </c>
      <c r="N19" s="170"/>
    </row>
    <row r="20" spans="1:14">
      <c r="A20" s="18" t="s">
        <v>334</v>
      </c>
      <c r="B20" s="18"/>
      <c r="C20" s="18"/>
      <c r="D20" s="281"/>
      <c r="E20" s="265">
        <f>SUM(E19-F19)</f>
        <v>72.599999999999994</v>
      </c>
      <c r="F20" s="265"/>
      <c r="G20" s="265"/>
      <c r="H20" s="265">
        <f>+G30*E30</f>
        <v>96214</v>
      </c>
      <c r="I20" s="265">
        <f>I19-L19</f>
        <v>7362</v>
      </c>
      <c r="J20" s="265">
        <f>J19-M19</f>
        <v>48662</v>
      </c>
      <c r="K20" s="265">
        <f>SUM(H20:J20)</f>
        <v>152238</v>
      </c>
      <c r="L20" s="39"/>
      <c r="M20" s="39"/>
      <c r="N20" s="170"/>
    </row>
    <row r="21" spans="1:14">
      <c r="A21" s="21" t="s">
        <v>221</v>
      </c>
      <c r="B21" s="1"/>
      <c r="C21" s="1"/>
      <c r="D21" s="1"/>
      <c r="E21" s="7"/>
      <c r="F21" s="1"/>
      <c r="G21" s="1"/>
      <c r="H21" s="7"/>
      <c r="I21" s="1"/>
      <c r="J21" s="1"/>
      <c r="K21" s="7"/>
      <c r="L21" s="1"/>
      <c r="M21" s="1"/>
      <c r="N21" s="170"/>
    </row>
    <row r="22" spans="1:14">
      <c r="A22" s="1"/>
      <c r="B22" s="1"/>
      <c r="C22" s="21" t="s">
        <v>45</v>
      </c>
      <c r="D22" s="21"/>
      <c r="E22" s="21"/>
      <c r="F22" s="7"/>
      <c r="G22" s="1"/>
      <c r="H22" s="7"/>
      <c r="I22" s="7"/>
      <c r="J22" s="7"/>
      <c r="K22" s="7"/>
      <c r="L22" s="1"/>
      <c r="M22" s="1"/>
      <c r="N22" s="170"/>
    </row>
    <row r="23" spans="1:14">
      <c r="A23" s="1"/>
      <c r="B23" s="1"/>
      <c r="C23" s="1"/>
      <c r="D23" s="1"/>
      <c r="E23" s="1"/>
      <c r="F23" s="1"/>
      <c r="G23" s="1"/>
      <c r="H23" s="11"/>
      <c r="I23" s="1"/>
      <c r="J23" s="1"/>
      <c r="K23" s="7"/>
      <c r="L23" s="1"/>
      <c r="M23" s="1"/>
      <c r="N23" s="170"/>
    </row>
    <row r="24" spans="1:14">
      <c r="A24" s="21" t="s">
        <v>46</v>
      </c>
      <c r="B24" s="21"/>
      <c r="C24" s="21"/>
      <c r="D24" s="21"/>
      <c r="E24" s="21"/>
      <c r="F24" s="21"/>
      <c r="G24" s="21"/>
      <c r="H24" s="1"/>
      <c r="I24" s="1"/>
      <c r="J24" s="1"/>
      <c r="K24" s="1"/>
      <c r="L24" s="1"/>
      <c r="M24" s="1"/>
      <c r="N24" s="170"/>
    </row>
    <row r="25" spans="1:14">
      <c r="A25" s="260" t="s">
        <v>47</v>
      </c>
      <c r="B25" s="260"/>
      <c r="C25" s="260"/>
      <c r="D25" s="272" t="s">
        <v>48</v>
      </c>
      <c r="E25" s="260" t="s">
        <v>49</v>
      </c>
      <c r="F25" s="260"/>
      <c r="G25" s="260" t="s">
        <v>89</v>
      </c>
      <c r="H25" s="1"/>
      <c r="I25" s="1"/>
      <c r="J25" s="1"/>
      <c r="K25" s="45"/>
      <c r="L25" s="1"/>
      <c r="M25" s="1"/>
      <c r="N25" s="170"/>
    </row>
    <row r="26" spans="1:14">
      <c r="A26" s="21" t="s">
        <v>53</v>
      </c>
      <c r="B26" s="1"/>
      <c r="C26" s="1"/>
      <c r="D26" s="1"/>
      <c r="E26" s="1"/>
      <c r="F26" s="1"/>
      <c r="G26" s="1"/>
      <c r="H26" s="1"/>
      <c r="I26" s="1"/>
      <c r="J26" s="1"/>
      <c r="K26" s="45"/>
      <c r="L26" s="1"/>
      <c r="M26" s="1"/>
      <c r="N26" s="170"/>
    </row>
    <row r="27" spans="1:14">
      <c r="A27" s="1" t="s">
        <v>114</v>
      </c>
      <c r="B27" s="1"/>
      <c r="C27" s="1"/>
      <c r="D27" s="117" t="s">
        <v>66</v>
      </c>
      <c r="E27" s="117">
        <v>1.6</v>
      </c>
      <c r="F27" s="117"/>
      <c r="G27" s="261">
        <v>8564</v>
      </c>
      <c r="H27" s="1"/>
      <c r="I27" s="46" t="s">
        <v>60</v>
      </c>
      <c r="J27" s="47">
        <v>0.5</v>
      </c>
      <c r="K27" s="45"/>
      <c r="L27" s="1"/>
      <c r="M27" s="1"/>
      <c r="N27" s="170"/>
    </row>
    <row r="28" spans="1:14">
      <c r="A28" s="1"/>
      <c r="B28" s="1"/>
      <c r="C28" s="1"/>
      <c r="D28" s="26"/>
      <c r="E28" s="26"/>
      <c r="F28" s="26"/>
      <c r="G28" s="26"/>
      <c r="H28" s="1"/>
      <c r="I28" s="49" t="s">
        <v>62</v>
      </c>
      <c r="J28" s="50">
        <v>0.25</v>
      </c>
      <c r="K28" s="45"/>
      <c r="L28" s="1"/>
      <c r="M28" s="1"/>
      <c r="N28" s="170"/>
    </row>
    <row r="29" spans="1:14">
      <c r="A29" s="21" t="s">
        <v>57</v>
      </c>
      <c r="B29" s="1"/>
      <c r="C29" s="1"/>
      <c r="D29" s="26"/>
      <c r="E29" s="26"/>
      <c r="F29" s="26"/>
      <c r="G29" s="26"/>
      <c r="H29" s="1"/>
      <c r="K29" s="1"/>
      <c r="L29" s="1"/>
      <c r="M29" s="1"/>
      <c r="N29" s="170"/>
    </row>
    <row r="30" spans="1:14">
      <c r="A30" s="1" t="s">
        <v>336</v>
      </c>
      <c r="B30" s="1"/>
      <c r="C30" s="1"/>
      <c r="D30" s="26" t="s">
        <v>59</v>
      </c>
      <c r="E30" s="117">
        <v>73</v>
      </c>
      <c r="F30" s="26"/>
      <c r="G30" s="117">
        <v>1318</v>
      </c>
      <c r="H30" s="1"/>
      <c r="K30" s="1"/>
      <c r="L30" s="1"/>
      <c r="M30" s="1"/>
      <c r="N30" s="170"/>
    </row>
    <row r="31" spans="1:14">
      <c r="A31" s="1" t="s">
        <v>271</v>
      </c>
      <c r="B31" s="1"/>
      <c r="C31" s="1"/>
      <c r="D31" s="26" t="s">
        <v>59</v>
      </c>
      <c r="E31" s="117">
        <v>44</v>
      </c>
      <c r="F31" s="26"/>
      <c r="G31" s="26"/>
      <c r="H31" s="1"/>
      <c r="K31" s="1"/>
      <c r="L31" s="1"/>
      <c r="M31" s="1"/>
      <c r="N31" s="170"/>
    </row>
    <row r="32" spans="1:14">
      <c r="A32" s="1" t="s">
        <v>6</v>
      </c>
      <c r="B32" s="1"/>
      <c r="C32" s="1"/>
      <c r="D32" s="26"/>
      <c r="E32" s="117">
        <f>SUM(E30:E31)</f>
        <v>117</v>
      </c>
      <c r="F32" s="26"/>
      <c r="G32" s="26"/>
      <c r="H32" s="1"/>
      <c r="I32" s="59" t="s">
        <v>51</v>
      </c>
      <c r="J32" s="60" t="s">
        <v>52</v>
      </c>
      <c r="K32" s="29"/>
      <c r="L32" s="1"/>
      <c r="M32" s="1"/>
      <c r="N32" s="170"/>
    </row>
    <row r="33" spans="1:14">
      <c r="A33" s="1"/>
      <c r="B33" s="1"/>
      <c r="C33" s="1"/>
      <c r="D33" s="1"/>
      <c r="E33" s="1"/>
      <c r="F33" s="1"/>
      <c r="G33" s="1"/>
      <c r="H33" s="1"/>
      <c r="I33" s="61" t="s">
        <v>116</v>
      </c>
      <c r="J33" s="62">
        <v>51</v>
      </c>
      <c r="K33" s="1"/>
      <c r="L33" s="1"/>
      <c r="M33" s="1"/>
      <c r="N33" s="170"/>
    </row>
    <row r="34" spans="1:14">
      <c r="A34" s="262" t="s">
        <v>63</v>
      </c>
      <c r="B34" s="262"/>
      <c r="C34" s="262" t="s">
        <v>375</v>
      </c>
      <c r="D34" s="262"/>
      <c r="E34" s="15"/>
      <c r="F34" s="15"/>
      <c r="G34" s="15"/>
      <c r="H34" s="1"/>
      <c r="I34" s="61" t="s">
        <v>117</v>
      </c>
      <c r="J34" s="62">
        <v>35</v>
      </c>
      <c r="K34" s="1"/>
      <c r="L34" s="1"/>
      <c r="M34" s="1"/>
      <c r="N34" s="170"/>
    </row>
    <row r="35" spans="1:14">
      <c r="A35" s="168"/>
      <c r="B35" s="268"/>
      <c r="C35" s="270" t="s">
        <v>339</v>
      </c>
      <c r="D35" s="274"/>
      <c r="E35" s="27"/>
      <c r="F35" s="27"/>
      <c r="G35" s="34"/>
      <c r="H35" s="1"/>
      <c r="I35" s="52" t="s">
        <v>113</v>
      </c>
      <c r="J35" s="50">
        <v>14</v>
      </c>
      <c r="K35" s="1"/>
      <c r="L35" s="1"/>
      <c r="M35" s="1"/>
      <c r="N35" s="170"/>
    </row>
    <row r="36" spans="1:14">
      <c r="A36" s="27" t="s">
        <v>186</v>
      </c>
      <c r="B36" s="3"/>
      <c r="C36" s="282">
        <v>43</v>
      </c>
      <c r="D36" s="32" t="s">
        <v>66</v>
      </c>
      <c r="E36" s="41">
        <v>1247</v>
      </c>
      <c r="F36" s="41"/>
      <c r="G36" s="41">
        <v>6</v>
      </c>
      <c r="H36" s="1"/>
      <c r="I36" s="1"/>
      <c r="J36" s="1"/>
      <c r="K36" s="1"/>
      <c r="L36" s="1"/>
      <c r="M36" s="1"/>
      <c r="N36" s="170"/>
    </row>
    <row r="37" spans="1:14">
      <c r="A37" s="27" t="s">
        <v>240</v>
      </c>
      <c r="B37" s="3"/>
      <c r="C37" s="282">
        <v>63</v>
      </c>
      <c r="D37" s="32" t="s">
        <v>66</v>
      </c>
      <c r="E37" s="41">
        <v>388</v>
      </c>
      <c r="F37" s="41"/>
      <c r="G37" s="41">
        <v>26</v>
      </c>
      <c r="H37" s="1"/>
      <c r="I37" s="1"/>
      <c r="J37" s="1"/>
      <c r="K37" s="1"/>
      <c r="L37" s="1"/>
      <c r="M37" s="1"/>
      <c r="N37" s="170"/>
    </row>
    <row r="38" spans="1:14">
      <c r="A38" s="27"/>
      <c r="B38" s="3"/>
      <c r="C38" s="30"/>
      <c r="D38" s="27"/>
      <c r="E38" s="27"/>
      <c r="F38" s="27"/>
      <c r="G38" s="27"/>
      <c r="H38" s="1"/>
      <c r="I38" s="1"/>
      <c r="J38" s="1"/>
      <c r="K38" s="1"/>
      <c r="L38" s="1"/>
      <c r="M38" s="1"/>
      <c r="N38" s="170"/>
    </row>
    <row r="39" spans="1:14">
      <c r="A39" s="262" t="s">
        <v>70</v>
      </c>
      <c r="B39" s="15"/>
      <c r="C39" s="15"/>
      <c r="D39" s="15"/>
      <c r="E39" s="15"/>
      <c r="F39" s="15"/>
      <c r="G39" s="255" t="s">
        <v>340</v>
      </c>
      <c r="H39" s="266"/>
      <c r="I39" s="266"/>
      <c r="J39" s="266" t="s">
        <v>341</v>
      </c>
      <c r="K39" s="1"/>
      <c r="L39" s="1"/>
      <c r="M39" s="1"/>
      <c r="N39" s="170"/>
    </row>
    <row r="40" spans="1:14">
      <c r="A40" s="27" t="s">
        <v>342</v>
      </c>
      <c r="B40" s="27"/>
      <c r="C40" s="27"/>
      <c r="D40" s="27"/>
      <c r="E40" s="27"/>
      <c r="F40" s="27"/>
      <c r="G40" s="55">
        <v>5770</v>
      </c>
      <c r="H40" s="1"/>
      <c r="I40" s="1"/>
      <c r="J40" s="7">
        <v>14258</v>
      </c>
      <c r="K40" s="11"/>
      <c r="L40" s="1"/>
      <c r="M40" s="1"/>
      <c r="N40" s="170"/>
    </row>
    <row r="41" spans="1:14">
      <c r="A41" s="27" t="s">
        <v>343</v>
      </c>
      <c r="B41" s="27"/>
      <c r="C41" s="27"/>
      <c r="D41" s="27"/>
      <c r="E41" s="27"/>
      <c r="F41" s="27"/>
      <c r="G41" s="56">
        <v>128</v>
      </c>
      <c r="H41" s="1"/>
      <c r="I41" s="1"/>
      <c r="J41" s="7"/>
      <c r="K41" s="11"/>
      <c r="L41" s="1"/>
      <c r="M41" s="1"/>
      <c r="N41" s="170"/>
    </row>
    <row r="42" spans="1:14">
      <c r="A42" s="27" t="s">
        <v>344</v>
      </c>
      <c r="B42" s="27"/>
      <c r="C42" s="27"/>
      <c r="D42" s="27"/>
      <c r="E42" s="27"/>
      <c r="F42" s="27"/>
      <c r="G42" s="56">
        <f>+G41*G40</f>
        <v>738560</v>
      </c>
      <c r="H42" s="1"/>
      <c r="I42" s="1"/>
      <c r="J42" s="7">
        <v>1824982</v>
      </c>
      <c r="K42" s="11"/>
      <c r="L42" s="1"/>
      <c r="M42" s="1"/>
      <c r="N42" s="170"/>
    </row>
    <row r="43" spans="1:14">
      <c r="A43" s="27" t="s">
        <v>345</v>
      </c>
      <c r="B43" s="27"/>
      <c r="C43" s="27"/>
      <c r="D43" s="27"/>
      <c r="E43" s="27"/>
      <c r="F43" s="27"/>
      <c r="G43" s="56">
        <f>+G42-K19</f>
        <v>526172</v>
      </c>
      <c r="H43" s="7"/>
      <c r="I43" s="1"/>
      <c r="J43" s="7">
        <v>1300171</v>
      </c>
      <c r="K43" s="11"/>
      <c r="L43" s="1"/>
      <c r="M43" s="1"/>
      <c r="N43" s="170"/>
    </row>
    <row r="44" spans="1:14">
      <c r="A44" s="27" t="s">
        <v>346</v>
      </c>
      <c r="B44" s="27"/>
      <c r="C44" s="27"/>
      <c r="D44" s="27"/>
      <c r="E44" s="27"/>
      <c r="F44" s="27"/>
      <c r="G44" s="56">
        <f>+G42-K20</f>
        <v>586322</v>
      </c>
      <c r="H44" s="7"/>
      <c r="I44" s="1"/>
      <c r="J44" s="7">
        <v>1448802</v>
      </c>
      <c r="K44" s="11"/>
      <c r="L44" s="1"/>
      <c r="M44" s="1"/>
      <c r="N44" s="170"/>
    </row>
    <row r="45" spans="1:14">
      <c r="A45" s="27"/>
      <c r="B45" s="27"/>
      <c r="C45" s="27"/>
      <c r="D45" s="27"/>
      <c r="E45" s="27"/>
      <c r="F45" s="27"/>
      <c r="G45" s="56"/>
      <c r="H45" s="7"/>
      <c r="I45" s="1"/>
      <c r="J45" s="1"/>
      <c r="K45" s="11"/>
      <c r="L45" s="1"/>
      <c r="M45" s="1"/>
      <c r="N45" s="170"/>
    </row>
    <row r="46" spans="1:14">
      <c r="A46" s="27" t="s">
        <v>347</v>
      </c>
      <c r="B46" s="27"/>
      <c r="C46" s="27"/>
      <c r="D46" s="27"/>
      <c r="E46" s="27"/>
      <c r="F46" s="27"/>
      <c r="G46" s="56">
        <f>+K19/G40</f>
        <v>36.809012131715768</v>
      </c>
      <c r="H46" s="7"/>
      <c r="I46" s="1"/>
      <c r="J46" s="1"/>
      <c r="K46" s="1"/>
      <c r="L46" s="1"/>
      <c r="M46" s="1"/>
      <c r="N46" s="170"/>
    </row>
    <row r="47" spans="1:14">
      <c r="A47" s="18" t="s">
        <v>348</v>
      </c>
      <c r="B47" s="18"/>
      <c r="C47" s="18"/>
      <c r="D47" s="18"/>
      <c r="E47" s="18"/>
      <c r="F47" s="18"/>
      <c r="G47" s="57">
        <f>+K20/G40</f>
        <v>26.384402079722705</v>
      </c>
      <c r="H47" s="7"/>
      <c r="I47" s="1"/>
      <c r="J47" s="1"/>
      <c r="K47" s="1"/>
      <c r="L47" s="1"/>
      <c r="M47" s="1"/>
      <c r="N47" s="170"/>
    </row>
    <row r="48" spans="1:14">
      <c r="A48" s="1" t="s">
        <v>241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0"/>
    </row>
    <row r="49" spans="1:14">
      <c r="E49" s="1"/>
      <c r="F49" s="1"/>
      <c r="G49" s="1"/>
      <c r="H49" s="1"/>
      <c r="I49" s="1"/>
      <c r="J49" s="1"/>
      <c r="K49" s="1"/>
      <c r="L49" s="1"/>
      <c r="M49" s="1"/>
      <c r="N49" s="170"/>
    </row>
    <row r="50" spans="1:14">
      <c r="A50" s="170"/>
      <c r="B50" s="170"/>
      <c r="C50" s="17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</row>
    <row r="51" spans="1:14">
      <c r="A51" s="170"/>
      <c r="B51" s="170"/>
      <c r="C51" s="170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</row>
    <row r="52" spans="1:14">
      <c r="A52" s="170"/>
      <c r="B52" s="170"/>
      <c r="C52" s="170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</row>
    <row r="53" spans="1:14">
      <c r="A53" s="170"/>
      <c r="B53" s="170"/>
      <c r="C53" s="170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</row>
    <row r="54" spans="1:14">
      <c r="A54" s="170"/>
      <c r="B54" s="170"/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70"/>
    </row>
    <row r="55" spans="1:14">
      <c r="A55" s="170"/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</row>
    <row r="56" spans="1:14">
      <c r="A56" s="170"/>
      <c r="B56" s="170"/>
      <c r="C56" s="170"/>
      <c r="D56" s="170"/>
      <c r="E56" s="170"/>
      <c r="F56" s="170"/>
      <c r="G56" s="170"/>
      <c r="H56" s="170"/>
      <c r="I56" s="170"/>
      <c r="J56" s="170"/>
      <c r="K56" s="170"/>
      <c r="L56" s="170"/>
      <c r="M56" s="170"/>
      <c r="N56" s="170"/>
    </row>
    <row r="57" spans="1:14">
      <c r="A57" s="170"/>
      <c r="B57" s="170"/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</row>
    <row r="58" spans="1:14">
      <c r="A58" s="170"/>
      <c r="B58" s="170"/>
      <c r="C58" s="170"/>
      <c r="D58" s="170"/>
      <c r="E58" s="170"/>
      <c r="F58" s="170"/>
      <c r="G58" s="170"/>
      <c r="H58" s="170"/>
      <c r="I58" s="170"/>
      <c r="J58" s="170"/>
      <c r="K58" s="170"/>
      <c r="L58" s="170"/>
      <c r="M58" s="170"/>
      <c r="N58" s="170"/>
    </row>
    <row r="59" spans="1:14">
      <c r="A59" s="170"/>
      <c r="B59" s="170"/>
      <c r="C59" s="170"/>
      <c r="D59" s="170"/>
      <c r="E59" s="170"/>
      <c r="F59" s="170"/>
      <c r="G59" s="170"/>
      <c r="H59" s="170"/>
      <c r="I59" s="170"/>
      <c r="J59" s="170"/>
      <c r="K59" s="170"/>
      <c r="L59" s="170"/>
      <c r="M59" s="170"/>
      <c r="N59" s="170"/>
    </row>
    <row r="60" spans="1:14">
      <c r="A60" s="170"/>
      <c r="B60" s="170"/>
      <c r="C60" s="170"/>
      <c r="D60" s="170"/>
      <c r="E60" s="170"/>
      <c r="F60" s="170"/>
      <c r="G60" s="170"/>
      <c r="H60" s="170"/>
      <c r="I60" s="170"/>
      <c r="J60" s="170"/>
      <c r="K60" s="170"/>
      <c r="L60" s="170"/>
      <c r="M60" s="170"/>
      <c r="N60" s="170"/>
    </row>
    <row r="61" spans="1:14">
      <c r="A61" s="170"/>
      <c r="B61" s="170"/>
      <c r="C61" s="170"/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</row>
    <row r="62" spans="1:14">
      <c r="A62" s="170"/>
      <c r="B62" s="170"/>
      <c r="C62" s="170"/>
      <c r="D62" s="170"/>
      <c r="E62" s="170"/>
      <c r="F62" s="170"/>
      <c r="G62" s="170"/>
      <c r="H62" s="170"/>
      <c r="I62" s="170"/>
      <c r="J62" s="170"/>
      <c r="K62" s="170"/>
      <c r="L62" s="170"/>
      <c r="M62" s="170"/>
      <c r="N62" s="170"/>
    </row>
    <row r="63" spans="1:14">
      <c r="A63" s="170"/>
      <c r="B63" s="170"/>
      <c r="C63" s="170"/>
      <c r="D63" s="170"/>
      <c r="E63" s="170"/>
      <c r="F63" s="170"/>
      <c r="G63" s="170"/>
      <c r="H63" s="170"/>
      <c r="I63" s="170"/>
      <c r="J63" s="170"/>
      <c r="K63" s="170"/>
      <c r="L63" s="170"/>
      <c r="M63" s="170"/>
      <c r="N63" s="170"/>
    </row>
    <row r="64" spans="1:14">
      <c r="A64" s="170"/>
      <c r="B64" s="170"/>
      <c r="C64" s="170"/>
      <c r="D64" s="170"/>
      <c r="E64" s="170"/>
      <c r="F64" s="170"/>
      <c r="G64" s="170"/>
      <c r="H64" s="170"/>
      <c r="I64" s="170"/>
      <c r="J64" s="170"/>
      <c r="K64" s="170"/>
      <c r="L64" s="170"/>
      <c r="M64" s="170"/>
      <c r="N64" s="170"/>
    </row>
    <row r="65" spans="1:14">
      <c r="A65" s="170"/>
      <c r="B65" s="170"/>
      <c r="C65" s="170"/>
      <c r="D65" s="170"/>
      <c r="E65" s="170"/>
      <c r="F65" s="170"/>
      <c r="G65" s="170"/>
      <c r="H65" s="170"/>
      <c r="I65" s="170"/>
      <c r="J65" s="170"/>
      <c r="K65" s="170"/>
      <c r="L65" s="170"/>
      <c r="M65" s="170"/>
      <c r="N65" s="170"/>
    </row>
    <row r="66" spans="1:14">
      <c r="A66" s="170"/>
      <c r="B66" s="170"/>
      <c r="C66" s="170"/>
      <c r="D66" s="170"/>
      <c r="E66" s="170"/>
      <c r="F66" s="170"/>
      <c r="G66" s="170"/>
      <c r="H66" s="170"/>
      <c r="I66" s="170"/>
      <c r="J66" s="170"/>
      <c r="K66" s="170"/>
      <c r="L66" s="170"/>
      <c r="M66" s="170"/>
      <c r="N66" s="170"/>
    </row>
    <row r="67" spans="1:14">
      <c r="A67" s="170"/>
      <c r="B67" s="170"/>
      <c r="C67" s="170"/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70"/>
    </row>
    <row r="68" spans="1:14">
      <c r="A68" s="170"/>
      <c r="B68" s="170"/>
      <c r="C68" s="170"/>
      <c r="D68" s="170"/>
      <c r="E68" s="170"/>
      <c r="F68" s="170"/>
      <c r="G68" s="170"/>
      <c r="H68" s="170"/>
      <c r="I68" s="170"/>
      <c r="J68" s="170"/>
      <c r="K68" s="170"/>
      <c r="L68" s="170"/>
      <c r="M68" s="170"/>
      <c r="N68" s="170"/>
    </row>
    <row r="69" spans="1:14">
      <c r="A69" s="170"/>
      <c r="B69" s="170"/>
      <c r="C69" s="170"/>
      <c r="D69" s="170"/>
      <c r="E69" s="170"/>
      <c r="F69" s="170"/>
      <c r="G69" s="170"/>
      <c r="H69" s="170"/>
      <c r="I69" s="170"/>
      <c r="J69" s="170"/>
      <c r="K69" s="170"/>
      <c r="L69" s="170"/>
      <c r="M69" s="170"/>
      <c r="N69" s="170"/>
    </row>
    <row r="70" spans="1:14">
      <c r="A70" s="170"/>
      <c r="B70" s="170"/>
      <c r="C70" s="170"/>
      <c r="D70" s="170"/>
      <c r="E70" s="170"/>
      <c r="F70" s="170"/>
      <c r="G70" s="170"/>
      <c r="H70" s="170"/>
      <c r="I70" s="170"/>
      <c r="J70" s="170"/>
      <c r="K70" s="170"/>
      <c r="L70" s="170"/>
      <c r="M70" s="170"/>
      <c r="N70" s="170"/>
    </row>
    <row r="71" spans="1:14">
      <c r="A71" s="170"/>
      <c r="B71" s="170"/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  <c r="N71" s="170"/>
    </row>
    <row r="72" spans="1:14">
      <c r="A72" s="170"/>
      <c r="B72" s="170"/>
      <c r="C72" s="170"/>
      <c r="D72" s="170"/>
      <c r="E72" s="170"/>
      <c r="F72" s="170"/>
      <c r="G72" s="170"/>
      <c r="H72" s="170"/>
      <c r="I72" s="170"/>
      <c r="J72" s="170"/>
      <c r="K72" s="170"/>
      <c r="L72" s="170"/>
      <c r="M72" s="170"/>
      <c r="N72" s="170"/>
    </row>
    <row r="73" spans="1:14">
      <c r="A73" s="170"/>
      <c r="B73" s="170"/>
      <c r="C73" s="170"/>
      <c r="D73" s="170"/>
      <c r="E73" s="170"/>
      <c r="F73" s="170"/>
      <c r="G73" s="170"/>
      <c r="H73" s="170"/>
      <c r="I73" s="170"/>
      <c r="J73" s="170"/>
      <c r="K73" s="170"/>
      <c r="L73" s="170"/>
      <c r="M73" s="170"/>
      <c r="N73" s="170"/>
    </row>
    <row r="74" spans="1:14">
      <c r="A74" s="170"/>
      <c r="B74" s="170"/>
      <c r="C74" s="170"/>
      <c r="D74" s="170"/>
      <c r="E74" s="170"/>
      <c r="F74" s="170"/>
      <c r="G74" s="170"/>
      <c r="H74" s="170"/>
      <c r="I74" s="170"/>
      <c r="J74" s="170"/>
      <c r="K74" s="170"/>
      <c r="L74" s="170"/>
      <c r="M74" s="170"/>
      <c r="N74" s="170"/>
    </row>
    <row r="75" spans="1:14">
      <c r="A75" s="170"/>
      <c r="B75" s="170"/>
      <c r="C75" s="170"/>
      <c r="D75" s="170"/>
      <c r="E75" s="170"/>
      <c r="F75" s="170"/>
      <c r="G75" s="170"/>
      <c r="H75" s="170"/>
      <c r="I75" s="170"/>
      <c r="J75" s="170"/>
      <c r="K75" s="170"/>
      <c r="L75" s="170"/>
      <c r="M75" s="170"/>
      <c r="N75" s="170"/>
    </row>
    <row r="76" spans="1:14">
      <c r="A76" s="170"/>
      <c r="B76" s="170"/>
      <c r="C76" s="170"/>
      <c r="D76" s="170"/>
      <c r="E76" s="170"/>
      <c r="F76" s="170"/>
      <c r="G76" s="170"/>
      <c r="H76" s="170"/>
      <c r="I76" s="170"/>
      <c r="J76" s="170"/>
      <c r="K76" s="170"/>
      <c r="L76" s="170"/>
      <c r="M76" s="170"/>
      <c r="N76" s="170"/>
    </row>
    <row r="77" spans="1:14">
      <c r="A77" s="170"/>
      <c r="B77" s="170"/>
      <c r="C77" s="170"/>
      <c r="D77" s="170"/>
      <c r="E77" s="170"/>
      <c r="F77" s="170"/>
      <c r="G77" s="170"/>
      <c r="H77" s="170"/>
      <c r="I77" s="170"/>
      <c r="J77" s="170"/>
      <c r="K77" s="170"/>
      <c r="L77" s="170"/>
      <c r="M77" s="170"/>
      <c r="N77" s="170"/>
    </row>
    <row r="78" spans="1:14">
      <c r="A78" s="170"/>
      <c r="B78" s="170"/>
      <c r="C78" s="170"/>
      <c r="D78" s="170"/>
      <c r="E78" s="170"/>
      <c r="F78" s="170"/>
      <c r="G78" s="170"/>
      <c r="H78" s="170"/>
      <c r="I78" s="170"/>
      <c r="J78" s="170"/>
      <c r="K78" s="170"/>
      <c r="L78" s="170"/>
      <c r="M78" s="170"/>
      <c r="N78" s="170"/>
    </row>
    <row r="79" spans="1:14">
      <c r="A79" s="170"/>
      <c r="B79" s="170"/>
      <c r="C79" s="170"/>
      <c r="D79" s="170"/>
      <c r="E79" s="170"/>
      <c r="F79" s="170"/>
      <c r="G79" s="170"/>
      <c r="H79" s="170"/>
      <c r="I79" s="170"/>
      <c r="J79" s="170"/>
      <c r="K79" s="170"/>
      <c r="L79" s="170"/>
      <c r="M79" s="170"/>
      <c r="N79" s="170"/>
    </row>
    <row r="80" spans="1:14">
      <c r="A80" s="170"/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</row>
    <row r="81" spans="1:14">
      <c r="A81" s="170"/>
      <c r="B81" s="170"/>
      <c r="C81" s="170"/>
      <c r="D81" s="170"/>
      <c r="E81" s="170"/>
      <c r="F81" s="170"/>
      <c r="G81" s="170"/>
      <c r="H81" s="170"/>
      <c r="I81" s="170"/>
      <c r="J81" s="170"/>
      <c r="K81" s="170"/>
      <c r="L81" s="170"/>
      <c r="M81" s="170"/>
      <c r="N81" s="170"/>
    </row>
    <row r="82" spans="1:14">
      <c r="A82" s="170"/>
      <c r="B82" s="170"/>
      <c r="C82" s="170"/>
      <c r="D82" s="170"/>
      <c r="E82" s="170"/>
      <c r="F82" s="170"/>
      <c r="G82" s="170"/>
      <c r="H82" s="170"/>
      <c r="I82" s="170"/>
      <c r="J82" s="170"/>
      <c r="K82" s="170"/>
      <c r="L82" s="170"/>
      <c r="M82" s="170"/>
      <c r="N82" s="170"/>
    </row>
    <row r="83" spans="1:14">
      <c r="A83" s="170"/>
      <c r="B83" s="170"/>
      <c r="C83" s="170"/>
      <c r="D83" s="170"/>
      <c r="E83" s="170"/>
      <c r="F83" s="170"/>
      <c r="G83" s="170"/>
      <c r="H83" s="170"/>
      <c r="I83" s="170"/>
      <c r="J83" s="170"/>
      <c r="K83" s="170"/>
      <c r="L83" s="170"/>
      <c r="M83" s="170"/>
      <c r="N83" s="170"/>
    </row>
    <row r="84" spans="1:14">
      <c r="A84" s="170"/>
      <c r="B84" s="170"/>
      <c r="C84" s="170"/>
      <c r="D84" s="170"/>
      <c r="E84" s="170"/>
      <c r="F84" s="170"/>
      <c r="G84" s="170"/>
      <c r="H84" s="170"/>
      <c r="I84" s="170"/>
      <c r="J84" s="170"/>
      <c r="K84" s="170"/>
      <c r="L84" s="170"/>
      <c r="M84" s="170"/>
      <c r="N84" s="170"/>
    </row>
    <row r="85" spans="1:14">
      <c r="A85" s="170"/>
      <c r="B85" s="170"/>
      <c r="C85" s="170"/>
      <c r="D85" s="170"/>
      <c r="E85" s="170"/>
      <c r="F85" s="170"/>
      <c r="G85" s="170"/>
      <c r="H85" s="170"/>
      <c r="I85" s="170"/>
      <c r="J85" s="170"/>
      <c r="K85" s="170"/>
      <c r="L85" s="170"/>
      <c r="M85" s="170"/>
      <c r="N85" s="170"/>
    </row>
    <row r="86" spans="1:14">
      <c r="A86" s="170"/>
      <c r="B86" s="170"/>
      <c r="C86" s="170"/>
      <c r="D86" s="170"/>
      <c r="E86" s="170"/>
      <c r="F86" s="170"/>
      <c r="G86" s="170"/>
      <c r="H86" s="170"/>
      <c r="I86" s="170"/>
      <c r="J86" s="170"/>
      <c r="K86" s="170"/>
      <c r="L86" s="170"/>
      <c r="M86" s="170"/>
      <c r="N86" s="170"/>
    </row>
    <row r="87" spans="1:14">
      <c r="A87" s="170"/>
      <c r="B87" s="170"/>
      <c r="C87" s="170"/>
      <c r="D87" s="170"/>
      <c r="E87" s="170"/>
      <c r="F87" s="170"/>
      <c r="G87" s="170"/>
      <c r="H87" s="170"/>
      <c r="I87" s="170"/>
      <c r="J87" s="170"/>
      <c r="K87" s="170"/>
      <c r="L87" s="170"/>
      <c r="M87" s="170"/>
      <c r="N87" s="170"/>
    </row>
    <row r="88" spans="1:14">
      <c r="A88" s="170"/>
      <c r="B88" s="170"/>
      <c r="C88" s="170"/>
      <c r="D88" s="170"/>
      <c r="E88" s="170"/>
      <c r="F88" s="170"/>
      <c r="G88" s="170"/>
      <c r="H88" s="170"/>
      <c r="I88" s="170"/>
      <c r="J88" s="170"/>
      <c r="K88" s="170"/>
      <c r="L88" s="170"/>
      <c r="M88" s="170"/>
      <c r="N88" s="17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3:N60"/>
  <sheetViews>
    <sheetView topLeftCell="A16" workbookViewId="0">
      <selection activeCell="A3" sqref="A3:N60"/>
    </sheetView>
  </sheetViews>
  <sheetFormatPr defaultRowHeight="15"/>
  <sheetData>
    <row r="3" spans="1:14">
      <c r="A3" s="88" t="s">
        <v>0</v>
      </c>
      <c r="B3" s="88" t="s">
        <v>409</v>
      </c>
      <c r="C3" s="88"/>
      <c r="D3" s="88"/>
      <c r="E3" s="88"/>
      <c r="F3" s="88"/>
      <c r="G3" s="88"/>
      <c r="H3" s="76"/>
      <c r="I3" s="76"/>
      <c r="J3" s="76"/>
      <c r="K3" s="76"/>
      <c r="L3" s="76"/>
      <c r="M3" s="76"/>
      <c r="N3" s="76"/>
    </row>
    <row r="4" spans="1:14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</row>
    <row r="5" spans="1:14">
      <c r="A5" s="76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5"/>
    </row>
    <row r="6" spans="1:14">
      <c r="A6" s="267" t="s">
        <v>4</v>
      </c>
      <c r="B6" s="267"/>
      <c r="C6" s="267"/>
      <c r="D6" s="255" t="s">
        <v>5</v>
      </c>
      <c r="E6" s="255" t="s">
        <v>6</v>
      </c>
      <c r="F6" s="255" t="s">
        <v>7</v>
      </c>
      <c r="G6" s="255" t="s">
        <v>8</v>
      </c>
      <c r="H6" s="255" t="s">
        <v>9</v>
      </c>
      <c r="I6" s="255" t="s">
        <v>10</v>
      </c>
      <c r="J6" s="255" t="s">
        <v>11</v>
      </c>
      <c r="K6" s="255" t="s">
        <v>12</v>
      </c>
      <c r="L6" s="255" t="s">
        <v>13</v>
      </c>
      <c r="M6" s="255"/>
      <c r="N6" s="75"/>
    </row>
    <row r="7" spans="1:14">
      <c r="A7" s="268"/>
      <c r="B7" s="268"/>
      <c r="C7" s="268"/>
      <c r="D7" s="256" t="s">
        <v>14</v>
      </c>
      <c r="E7" s="256" t="s">
        <v>15</v>
      </c>
      <c r="F7" s="256" t="s">
        <v>15</v>
      </c>
      <c r="G7" s="256" t="s">
        <v>16</v>
      </c>
      <c r="H7" s="256" t="s">
        <v>323</v>
      </c>
      <c r="I7" s="256" t="s">
        <v>390</v>
      </c>
      <c r="J7" s="256" t="s">
        <v>325</v>
      </c>
      <c r="K7" s="256" t="s">
        <v>325</v>
      </c>
      <c r="L7" s="256" t="s">
        <v>326</v>
      </c>
      <c r="M7" s="256" t="s">
        <v>327</v>
      </c>
      <c r="N7" s="75"/>
    </row>
    <row r="8" spans="1:14">
      <c r="A8" s="287"/>
      <c r="B8" s="287"/>
      <c r="C8" s="287"/>
      <c r="D8" s="257" t="s">
        <v>21</v>
      </c>
      <c r="E8" s="257"/>
      <c r="F8" s="257"/>
      <c r="G8" s="257"/>
      <c r="H8" s="257" t="s">
        <v>22</v>
      </c>
      <c r="I8" s="257" t="s">
        <v>328</v>
      </c>
      <c r="J8" s="257" t="s">
        <v>22</v>
      </c>
      <c r="K8" s="257" t="s">
        <v>22</v>
      </c>
      <c r="L8" s="257"/>
      <c r="M8" s="257"/>
      <c r="N8" s="75"/>
    </row>
    <row r="9" spans="1:14">
      <c r="A9" s="76" t="s">
        <v>94</v>
      </c>
      <c r="B9" s="76"/>
      <c r="C9" s="76"/>
      <c r="D9" s="84">
        <v>81</v>
      </c>
      <c r="E9" s="90">
        <v>9</v>
      </c>
      <c r="F9" s="90">
        <v>2.6</v>
      </c>
      <c r="G9" s="85">
        <v>1321</v>
      </c>
      <c r="H9" s="83">
        <f>+G9*E9</f>
        <v>11889</v>
      </c>
      <c r="I9" s="76"/>
      <c r="J9" s="83"/>
      <c r="K9" s="83">
        <f>+J9+I9+H9</f>
        <v>11889</v>
      </c>
      <c r="L9" s="76"/>
      <c r="M9" s="76"/>
      <c r="N9" s="75"/>
    </row>
    <row r="10" spans="1:14">
      <c r="A10" s="76" t="s">
        <v>410</v>
      </c>
      <c r="B10" s="76"/>
      <c r="C10" s="76"/>
      <c r="D10" s="80">
        <v>69</v>
      </c>
      <c r="E10" s="83">
        <v>1</v>
      </c>
      <c r="F10" s="83">
        <v>1</v>
      </c>
      <c r="G10" s="82">
        <v>1300</v>
      </c>
      <c r="H10" s="83">
        <f>+G10*E10</f>
        <v>1300</v>
      </c>
      <c r="I10" s="83">
        <v>9367</v>
      </c>
      <c r="J10" s="83"/>
      <c r="K10" s="83">
        <f t="shared" ref="K10:K19" si="0">+J10+I10+H10</f>
        <v>10667</v>
      </c>
      <c r="L10" s="83">
        <v>3249</v>
      </c>
      <c r="M10" s="76"/>
      <c r="N10" s="75"/>
    </row>
    <row r="11" spans="1:14">
      <c r="A11" s="86" t="s">
        <v>158</v>
      </c>
      <c r="B11" s="76"/>
      <c r="C11" s="76"/>
      <c r="D11" s="84" t="s">
        <v>127</v>
      </c>
      <c r="E11" s="90"/>
      <c r="F11" s="90"/>
      <c r="G11" s="85"/>
      <c r="H11" s="90" t="s">
        <v>182</v>
      </c>
      <c r="I11" s="86"/>
      <c r="J11" s="83"/>
      <c r="K11" s="83"/>
      <c r="L11" s="76"/>
      <c r="M11" s="76"/>
      <c r="N11" s="75"/>
    </row>
    <row r="12" spans="1:14">
      <c r="A12" s="86" t="s">
        <v>34</v>
      </c>
      <c r="B12" s="76"/>
      <c r="C12" s="76"/>
      <c r="D12" s="84">
        <v>100</v>
      </c>
      <c r="E12" s="90">
        <v>10.1</v>
      </c>
      <c r="F12" s="90">
        <v>4.5999999999999996</v>
      </c>
      <c r="G12" s="85">
        <v>1373</v>
      </c>
      <c r="H12" s="83">
        <v>13867</v>
      </c>
      <c r="I12" s="86"/>
      <c r="J12" s="112">
        <v>2445</v>
      </c>
      <c r="K12" s="83">
        <f t="shared" si="0"/>
        <v>16312</v>
      </c>
      <c r="L12" s="76"/>
      <c r="M12" s="76"/>
      <c r="N12" s="75"/>
    </row>
    <row r="13" spans="1:14">
      <c r="A13" s="76" t="s">
        <v>85</v>
      </c>
      <c r="B13" s="76"/>
      <c r="C13" s="76"/>
      <c r="D13" s="80">
        <v>100</v>
      </c>
      <c r="E13" s="83">
        <v>12.3</v>
      </c>
      <c r="F13" s="83">
        <v>5.9</v>
      </c>
      <c r="G13" s="82">
        <v>1274</v>
      </c>
      <c r="H13" s="83">
        <v>15670</v>
      </c>
      <c r="I13" s="76"/>
      <c r="J13" s="83">
        <v>16956</v>
      </c>
      <c r="K13" s="83">
        <f t="shared" si="0"/>
        <v>32626</v>
      </c>
      <c r="L13" s="76"/>
      <c r="M13" s="83"/>
      <c r="N13" s="75"/>
    </row>
    <row r="14" spans="1:14">
      <c r="A14" s="76" t="s">
        <v>86</v>
      </c>
      <c r="B14" s="76"/>
      <c r="C14" s="76"/>
      <c r="D14" s="80">
        <v>100</v>
      </c>
      <c r="E14" s="83">
        <v>7</v>
      </c>
      <c r="F14" s="83">
        <v>5.8</v>
      </c>
      <c r="G14" s="82">
        <v>1426</v>
      </c>
      <c r="H14" s="83">
        <v>9982</v>
      </c>
      <c r="I14" s="76"/>
      <c r="J14" s="83">
        <f>+G37*E37+G38*E38</f>
        <v>8478</v>
      </c>
      <c r="K14" s="83">
        <f t="shared" si="0"/>
        <v>18460</v>
      </c>
      <c r="L14" s="76"/>
      <c r="M14" s="87"/>
      <c r="N14" s="75"/>
    </row>
    <row r="15" spans="1:14">
      <c r="A15" s="76" t="s">
        <v>37</v>
      </c>
      <c r="B15" s="76"/>
      <c r="C15" s="76"/>
      <c r="D15" s="80">
        <v>100</v>
      </c>
      <c r="E15" s="83">
        <v>11.2</v>
      </c>
      <c r="F15" s="83">
        <v>6.1</v>
      </c>
      <c r="G15" s="82">
        <v>1206</v>
      </c>
      <c r="H15" s="83">
        <v>13507</v>
      </c>
      <c r="I15" s="76"/>
      <c r="J15" s="83"/>
      <c r="K15" s="83">
        <f t="shared" si="0"/>
        <v>13507</v>
      </c>
      <c r="L15" s="76"/>
      <c r="M15" s="87"/>
      <c r="N15" s="75"/>
    </row>
    <row r="16" spans="1:14">
      <c r="A16" s="76" t="s">
        <v>134</v>
      </c>
      <c r="B16" s="76"/>
      <c r="C16" s="76"/>
      <c r="D16" s="80">
        <v>100</v>
      </c>
      <c r="E16" s="83">
        <v>11.4</v>
      </c>
      <c r="F16" s="83">
        <v>10.6</v>
      </c>
      <c r="G16" s="82">
        <v>1500</v>
      </c>
      <c r="H16" s="83">
        <v>17100</v>
      </c>
      <c r="I16" s="76"/>
      <c r="J16" s="83">
        <v>11529</v>
      </c>
      <c r="K16" s="83">
        <f t="shared" si="0"/>
        <v>28629</v>
      </c>
      <c r="L16" s="76"/>
      <c r="M16" s="87"/>
      <c r="N16" s="75"/>
    </row>
    <row r="17" spans="1:14">
      <c r="A17" s="76" t="s">
        <v>183</v>
      </c>
      <c r="B17" s="76"/>
      <c r="C17" s="76"/>
      <c r="D17" s="80">
        <v>100</v>
      </c>
      <c r="E17" s="83">
        <v>8.8000000000000007</v>
      </c>
      <c r="F17" s="83">
        <v>4.8</v>
      </c>
      <c r="G17" s="82">
        <v>1340</v>
      </c>
      <c r="H17" s="83">
        <v>11792</v>
      </c>
      <c r="I17" s="76"/>
      <c r="J17" s="83">
        <v>23533</v>
      </c>
      <c r="K17" s="83">
        <f t="shared" si="0"/>
        <v>35325</v>
      </c>
      <c r="L17" s="76"/>
      <c r="M17" s="113">
        <v>3029</v>
      </c>
      <c r="N17" s="75"/>
    </row>
    <row r="18" spans="1:14">
      <c r="A18" s="76" t="s">
        <v>331</v>
      </c>
      <c r="B18" s="76"/>
      <c r="C18" s="76"/>
      <c r="D18" s="80">
        <v>100</v>
      </c>
      <c r="E18" s="83">
        <v>14.3</v>
      </c>
      <c r="F18" s="83">
        <v>14.3</v>
      </c>
      <c r="G18" s="82">
        <v>1269</v>
      </c>
      <c r="H18" s="83">
        <v>18147</v>
      </c>
      <c r="I18" s="76"/>
      <c r="J18" s="83"/>
      <c r="K18" s="83">
        <f t="shared" si="0"/>
        <v>18147</v>
      </c>
      <c r="L18" s="76"/>
      <c r="M18" s="76"/>
      <c r="N18" s="75"/>
    </row>
    <row r="19" spans="1:14">
      <c r="A19" s="76" t="s">
        <v>143</v>
      </c>
      <c r="B19" s="76"/>
      <c r="C19" s="76"/>
      <c r="D19" s="80">
        <v>100</v>
      </c>
      <c r="E19" s="83">
        <v>23.7</v>
      </c>
      <c r="F19" s="83">
        <v>11</v>
      </c>
      <c r="G19" s="82">
        <v>1248</v>
      </c>
      <c r="H19" s="83">
        <v>29578</v>
      </c>
      <c r="I19" s="76"/>
      <c r="J19" s="83"/>
      <c r="K19" s="83">
        <f t="shared" si="0"/>
        <v>29578</v>
      </c>
      <c r="L19" s="76"/>
      <c r="M19" s="76"/>
      <c r="N19" s="75"/>
    </row>
    <row r="20" spans="1:14">
      <c r="A20" s="91" t="s">
        <v>43</v>
      </c>
      <c r="B20" s="91"/>
      <c r="C20" s="91"/>
      <c r="D20" s="92"/>
      <c r="E20" s="93">
        <f>SUM(E9:E19)</f>
        <v>108.80000000000001</v>
      </c>
      <c r="F20" s="93">
        <f>SUM(F9:F19)</f>
        <v>66.7</v>
      </c>
      <c r="G20" s="93"/>
      <c r="H20" s="93">
        <f>SUM(H9:H19)</f>
        <v>142832</v>
      </c>
      <c r="I20" s="93">
        <f t="shared" ref="I20:M20" si="1">SUM(I9:I19)</f>
        <v>9367</v>
      </c>
      <c r="J20" s="93">
        <f t="shared" si="1"/>
        <v>62941</v>
      </c>
      <c r="K20" s="93">
        <f t="shared" si="1"/>
        <v>215140</v>
      </c>
      <c r="L20" s="93">
        <f t="shared" si="1"/>
        <v>3249</v>
      </c>
      <c r="M20" s="93">
        <f t="shared" si="1"/>
        <v>3029</v>
      </c>
      <c r="N20" s="75"/>
    </row>
    <row r="21" spans="1:14">
      <c r="A21" s="94" t="s">
        <v>44</v>
      </c>
      <c r="B21" s="94"/>
      <c r="C21" s="94"/>
      <c r="D21" s="95"/>
      <c r="E21" s="96">
        <f>SUM(E20-F20)</f>
        <v>42.100000000000009</v>
      </c>
      <c r="F21" s="96"/>
      <c r="G21" s="96"/>
      <c r="H21" s="96">
        <f>SUM(E31*G31)</f>
        <v>55020</v>
      </c>
      <c r="I21" s="96">
        <f>I20-L20</f>
        <v>6118</v>
      </c>
      <c r="J21" s="96">
        <f>J20-M20</f>
        <v>59912</v>
      </c>
      <c r="K21" s="96">
        <f>SUM(H21:J21)</f>
        <v>121050</v>
      </c>
      <c r="L21" s="94"/>
      <c r="M21" s="94"/>
      <c r="N21" s="75"/>
    </row>
    <row r="22" spans="1:14">
      <c r="A22" s="88" t="s">
        <v>184</v>
      </c>
      <c r="B22" s="76"/>
      <c r="C22" s="76"/>
      <c r="D22" s="76"/>
      <c r="E22" s="76"/>
      <c r="F22" s="76"/>
      <c r="G22" s="83"/>
      <c r="H22" s="76"/>
      <c r="I22" s="83"/>
      <c r="J22" s="76"/>
      <c r="K22" s="83"/>
      <c r="L22" s="76"/>
      <c r="M22" s="76"/>
      <c r="N22" s="75"/>
    </row>
    <row r="23" spans="1:14">
      <c r="A23" s="76"/>
      <c r="B23" s="76"/>
      <c r="C23" s="88" t="s">
        <v>45</v>
      </c>
      <c r="D23" s="76"/>
      <c r="E23" s="76"/>
      <c r="F23" s="76"/>
      <c r="G23" s="76"/>
      <c r="H23" s="87"/>
      <c r="I23" s="87"/>
      <c r="J23" s="87"/>
      <c r="K23" s="87"/>
      <c r="L23" s="76"/>
      <c r="M23" s="76"/>
      <c r="N23" s="75"/>
    </row>
    <row r="24" spans="1:14">
      <c r="A24" s="76"/>
      <c r="B24" s="76"/>
      <c r="C24" s="76"/>
      <c r="D24" s="76"/>
      <c r="E24" s="76"/>
      <c r="F24" s="76"/>
      <c r="G24" s="76"/>
      <c r="H24" s="76"/>
      <c r="I24" s="83"/>
      <c r="J24" s="76"/>
      <c r="K24" s="83"/>
      <c r="L24" s="76"/>
      <c r="M24" s="76"/>
      <c r="N24" s="75"/>
    </row>
    <row r="25" spans="1:14">
      <c r="A25" s="21" t="s">
        <v>46</v>
      </c>
      <c r="B25" s="21"/>
      <c r="C25" s="21"/>
      <c r="D25" s="21"/>
      <c r="E25" s="21"/>
      <c r="F25" s="21"/>
      <c r="G25" s="21"/>
      <c r="H25" s="76"/>
      <c r="I25" s="76"/>
      <c r="J25" s="76"/>
      <c r="K25" s="76"/>
      <c r="L25" s="76"/>
      <c r="M25" s="76"/>
      <c r="N25" s="75"/>
    </row>
    <row r="26" spans="1:14">
      <c r="A26" s="260" t="s">
        <v>47</v>
      </c>
      <c r="B26" s="260"/>
      <c r="C26" s="260"/>
      <c r="D26" s="260" t="s">
        <v>48</v>
      </c>
      <c r="E26" s="260" t="s">
        <v>49</v>
      </c>
      <c r="F26" s="260"/>
      <c r="G26" s="260" t="s">
        <v>50</v>
      </c>
      <c r="H26" s="76"/>
      <c r="I26" s="114" t="s">
        <v>51</v>
      </c>
      <c r="J26" s="115" t="s">
        <v>52</v>
      </c>
      <c r="K26" s="76"/>
      <c r="L26" s="76"/>
      <c r="M26" s="76"/>
      <c r="N26" s="75"/>
    </row>
    <row r="27" spans="1:14">
      <c r="A27" s="88" t="s">
        <v>53</v>
      </c>
      <c r="B27" s="76"/>
      <c r="C27" s="76"/>
      <c r="D27" s="76"/>
      <c r="E27" s="76"/>
      <c r="F27" s="76"/>
      <c r="G27" s="76"/>
      <c r="H27" s="76"/>
      <c r="I27" s="97" t="s">
        <v>185</v>
      </c>
      <c r="J27" s="98">
        <v>90</v>
      </c>
      <c r="K27" s="76"/>
      <c r="L27" s="76"/>
      <c r="M27" s="76"/>
      <c r="N27" s="75"/>
    </row>
    <row r="28" spans="1:14">
      <c r="A28" s="76" t="s">
        <v>55</v>
      </c>
      <c r="B28" s="86"/>
      <c r="C28" s="76"/>
      <c r="D28" s="89" t="s">
        <v>66</v>
      </c>
      <c r="E28" s="81">
        <v>13.5</v>
      </c>
      <c r="F28" s="83"/>
      <c r="G28" s="83">
        <v>1256</v>
      </c>
      <c r="H28" s="76"/>
      <c r="I28" s="99" t="s">
        <v>113</v>
      </c>
      <c r="J28" s="100">
        <v>10</v>
      </c>
      <c r="K28" s="76"/>
      <c r="L28" s="76"/>
      <c r="M28" s="76"/>
      <c r="N28" s="75"/>
    </row>
    <row r="29" spans="1:14">
      <c r="A29" s="76"/>
      <c r="B29" s="76"/>
      <c r="C29" s="76"/>
      <c r="D29" s="89"/>
      <c r="E29" s="86"/>
      <c r="F29" s="76"/>
      <c r="G29" s="86"/>
      <c r="H29" s="76"/>
      <c r="I29" s="101"/>
      <c r="J29" s="102"/>
      <c r="K29" s="76"/>
      <c r="L29" s="76"/>
      <c r="M29" s="76"/>
      <c r="N29" s="75"/>
    </row>
    <row r="30" spans="1:14">
      <c r="A30" s="88" t="s">
        <v>57</v>
      </c>
      <c r="B30" s="76"/>
      <c r="C30" s="76"/>
      <c r="D30" s="89"/>
      <c r="E30" s="76"/>
      <c r="F30" s="76"/>
      <c r="G30" s="76"/>
      <c r="H30" s="76"/>
      <c r="I30" s="76"/>
      <c r="J30" s="76"/>
      <c r="K30" s="87"/>
      <c r="L30" s="76"/>
      <c r="M30" s="76"/>
      <c r="N30" s="75"/>
    </row>
    <row r="31" spans="1:14">
      <c r="A31" s="76" t="s">
        <v>336</v>
      </c>
      <c r="B31" s="76"/>
      <c r="C31" s="76"/>
      <c r="D31" s="176" t="s">
        <v>59</v>
      </c>
      <c r="E31" s="299">
        <v>42</v>
      </c>
      <c r="F31" s="299"/>
      <c r="G31" s="300">
        <v>1310</v>
      </c>
      <c r="H31" s="76"/>
      <c r="I31" s="91" t="s">
        <v>60</v>
      </c>
      <c r="J31" s="93">
        <v>0.5</v>
      </c>
      <c r="K31" s="87"/>
      <c r="L31" s="76"/>
      <c r="M31" s="76"/>
      <c r="N31" s="75"/>
    </row>
    <row r="32" spans="1:14">
      <c r="A32" s="76" t="s">
        <v>337</v>
      </c>
      <c r="B32" s="76"/>
      <c r="C32" s="76"/>
      <c r="D32" s="176" t="s">
        <v>59</v>
      </c>
      <c r="E32" s="299">
        <v>67</v>
      </c>
      <c r="F32" s="299"/>
      <c r="G32" s="299"/>
      <c r="H32" s="76"/>
      <c r="I32" s="94" t="s">
        <v>62</v>
      </c>
      <c r="J32" s="96">
        <v>0.25</v>
      </c>
      <c r="K32" s="76"/>
      <c r="L32" s="76"/>
      <c r="M32" s="76"/>
      <c r="N32" s="75"/>
    </row>
    <row r="33" spans="1:14">
      <c r="A33" s="76" t="s">
        <v>6</v>
      </c>
      <c r="B33" s="76"/>
      <c r="C33" s="76"/>
      <c r="D33" s="176"/>
      <c r="E33" s="299">
        <f>+E32+E31</f>
        <v>109</v>
      </c>
      <c r="F33" s="299"/>
      <c r="G33" s="299"/>
      <c r="H33" s="76"/>
      <c r="I33" s="76"/>
      <c r="J33" s="76"/>
      <c r="K33" s="89"/>
      <c r="L33" s="76"/>
      <c r="M33" s="76"/>
      <c r="N33" s="75"/>
    </row>
    <row r="34" spans="1:14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5"/>
    </row>
    <row r="35" spans="1:14">
      <c r="A35" s="245" t="s">
        <v>63</v>
      </c>
      <c r="B35" s="91"/>
      <c r="C35" s="262" t="s">
        <v>375</v>
      </c>
      <c r="D35" s="91"/>
      <c r="E35" s="91"/>
      <c r="F35" s="91"/>
      <c r="G35" s="91"/>
      <c r="H35" s="76"/>
      <c r="I35" s="76"/>
      <c r="J35" s="76"/>
      <c r="K35" s="76"/>
      <c r="L35" s="76"/>
      <c r="M35" s="76"/>
      <c r="N35" s="75"/>
    </row>
    <row r="36" spans="1:14">
      <c r="A36" s="76"/>
      <c r="B36" s="78"/>
      <c r="C36" s="270" t="s">
        <v>405</v>
      </c>
      <c r="D36" s="101"/>
      <c r="E36" s="101"/>
      <c r="F36" s="101"/>
      <c r="G36" s="101"/>
      <c r="H36" s="76"/>
      <c r="I36" s="76"/>
      <c r="J36" s="76"/>
      <c r="K36" s="76"/>
      <c r="L36" s="76"/>
      <c r="M36" s="76"/>
      <c r="N36" s="75"/>
    </row>
    <row r="37" spans="1:14">
      <c r="A37" s="101" t="s">
        <v>92</v>
      </c>
      <c r="B37" s="78"/>
      <c r="C37" s="104">
        <v>100</v>
      </c>
      <c r="D37" s="105" t="s">
        <v>66</v>
      </c>
      <c r="E37" s="106">
        <v>222</v>
      </c>
      <c r="F37" s="101"/>
      <c r="G37" s="106">
        <v>24</v>
      </c>
      <c r="H37" s="76"/>
      <c r="I37" s="76"/>
      <c r="J37" s="76"/>
      <c r="K37" s="76"/>
      <c r="L37" s="76"/>
      <c r="M37" s="76"/>
      <c r="N37" s="75"/>
    </row>
    <row r="38" spans="1:14">
      <c r="A38" s="101" t="s">
        <v>186</v>
      </c>
      <c r="B38" s="78"/>
      <c r="C38" s="104">
        <v>59</v>
      </c>
      <c r="D38" s="105" t="s">
        <v>66</v>
      </c>
      <c r="E38" s="107">
        <v>630</v>
      </c>
      <c r="F38" s="101"/>
      <c r="G38" s="107">
        <v>5</v>
      </c>
      <c r="H38" s="76"/>
      <c r="I38" s="76"/>
      <c r="J38" s="76"/>
      <c r="K38" s="76"/>
      <c r="L38" s="76"/>
      <c r="M38" s="76"/>
      <c r="N38" s="75"/>
    </row>
    <row r="39" spans="1:14">
      <c r="A39" s="76"/>
      <c r="B39" s="116"/>
      <c r="C39" s="103"/>
      <c r="D39" s="101"/>
      <c r="E39" s="101"/>
      <c r="F39" s="101"/>
      <c r="G39" s="101"/>
      <c r="H39" s="76"/>
      <c r="I39" s="76"/>
      <c r="J39" s="76"/>
      <c r="K39" s="76"/>
      <c r="L39" s="76"/>
      <c r="M39" s="76"/>
      <c r="N39" s="75"/>
    </row>
    <row r="40" spans="1:14">
      <c r="A40" s="245" t="s">
        <v>70</v>
      </c>
      <c r="B40" s="91"/>
      <c r="C40" s="91"/>
      <c r="D40" s="91"/>
      <c r="E40" s="91"/>
      <c r="F40" s="91"/>
      <c r="G40" s="91"/>
      <c r="H40" s="76"/>
      <c r="I40" s="76" t="s">
        <v>71</v>
      </c>
      <c r="J40" s="76"/>
      <c r="K40" s="76"/>
      <c r="L40" s="76"/>
      <c r="M40" s="76"/>
      <c r="N40" s="75"/>
    </row>
    <row r="41" spans="1:14">
      <c r="A41" s="101" t="s">
        <v>342</v>
      </c>
      <c r="B41" s="101"/>
      <c r="C41" s="101"/>
      <c r="D41" s="101"/>
      <c r="E41" s="101"/>
      <c r="F41" s="101"/>
      <c r="G41" s="108">
        <v>3267</v>
      </c>
      <c r="H41" s="76"/>
      <c r="I41" s="83">
        <v>8073</v>
      </c>
      <c r="J41" s="76"/>
      <c r="K41" s="87"/>
      <c r="L41" s="76"/>
      <c r="M41" s="76"/>
      <c r="N41" s="75"/>
    </row>
    <row r="42" spans="1:14">
      <c r="A42" s="101" t="s">
        <v>343</v>
      </c>
      <c r="B42" s="101"/>
      <c r="C42" s="101"/>
      <c r="D42" s="101"/>
      <c r="E42" s="101"/>
      <c r="F42" s="101"/>
      <c r="G42" s="109">
        <v>121</v>
      </c>
      <c r="H42" s="76"/>
      <c r="I42" s="83"/>
      <c r="J42" s="76"/>
      <c r="K42" s="87"/>
      <c r="L42" s="76"/>
      <c r="M42" s="76"/>
      <c r="N42" s="75"/>
    </row>
    <row r="43" spans="1:14">
      <c r="A43" s="101" t="s">
        <v>360</v>
      </c>
      <c r="B43" s="101"/>
      <c r="C43" s="101"/>
      <c r="D43" s="101"/>
      <c r="E43" s="101"/>
      <c r="F43" s="101"/>
      <c r="G43" s="109">
        <f>+G42*G41</f>
        <v>395307</v>
      </c>
      <c r="H43" s="110"/>
      <c r="I43" s="83">
        <v>976804</v>
      </c>
      <c r="J43" s="76"/>
      <c r="K43" s="87"/>
      <c r="L43" s="76"/>
      <c r="M43" s="76"/>
      <c r="N43" s="75"/>
    </row>
    <row r="44" spans="1:14">
      <c r="A44" s="101" t="s">
        <v>361</v>
      </c>
      <c r="B44" s="101"/>
      <c r="C44" s="101"/>
      <c r="D44" s="101"/>
      <c r="E44" s="101"/>
      <c r="F44" s="101"/>
      <c r="G44" s="109">
        <f>+G43-K20</f>
        <v>180167</v>
      </c>
      <c r="H44" s="110"/>
      <c r="I44" s="83">
        <v>445193</v>
      </c>
      <c r="J44" s="76"/>
      <c r="K44" s="87"/>
      <c r="L44" s="76"/>
      <c r="M44" s="76"/>
      <c r="N44" s="75"/>
    </row>
    <row r="45" spans="1:14">
      <c r="A45" s="101" t="s">
        <v>362</v>
      </c>
      <c r="B45" s="101"/>
      <c r="C45" s="101"/>
      <c r="D45" s="101"/>
      <c r="E45" s="101"/>
      <c r="F45" s="101"/>
      <c r="G45" s="109">
        <f>+G43-K21</f>
        <v>274257</v>
      </c>
      <c r="H45" s="110"/>
      <c r="I45" s="83">
        <v>677689</v>
      </c>
      <c r="J45" s="76"/>
      <c r="K45" s="87"/>
      <c r="L45" s="76"/>
      <c r="M45" s="76"/>
      <c r="N45" s="75"/>
    </row>
    <row r="46" spans="1:14">
      <c r="A46" s="101"/>
      <c r="B46" s="101"/>
      <c r="C46" s="101"/>
      <c r="D46" s="101"/>
      <c r="E46" s="101"/>
      <c r="F46" s="101"/>
      <c r="G46" s="109"/>
      <c r="H46" s="110"/>
      <c r="I46" s="110"/>
      <c r="J46" s="76"/>
      <c r="K46" s="76"/>
      <c r="L46" s="76"/>
      <c r="M46" s="76"/>
      <c r="N46" s="75"/>
    </row>
    <row r="47" spans="1:14">
      <c r="A47" s="101" t="s">
        <v>399</v>
      </c>
      <c r="B47" s="101"/>
      <c r="C47" s="101"/>
      <c r="D47" s="101"/>
      <c r="E47" s="101"/>
      <c r="F47" s="101"/>
      <c r="G47" s="109">
        <f>+K20/G41</f>
        <v>65.852464034282221</v>
      </c>
      <c r="H47" s="76"/>
      <c r="I47" s="76"/>
      <c r="J47" s="76"/>
      <c r="K47" s="76"/>
      <c r="L47" s="76"/>
      <c r="M47" s="76"/>
      <c r="N47" s="75"/>
    </row>
    <row r="48" spans="1:14">
      <c r="A48" s="94" t="s">
        <v>400</v>
      </c>
      <c r="B48" s="94"/>
      <c r="C48" s="94"/>
      <c r="D48" s="94"/>
      <c r="E48" s="94"/>
      <c r="F48" s="94"/>
      <c r="G48" s="111">
        <f>+K21/G41</f>
        <v>37.052341597796143</v>
      </c>
      <c r="H48" s="76"/>
      <c r="I48" s="76"/>
      <c r="J48" s="76"/>
      <c r="K48" s="76"/>
      <c r="L48" s="76"/>
      <c r="M48" s="76"/>
      <c r="N48" s="75"/>
    </row>
    <row r="49" spans="1:14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5"/>
    </row>
    <row r="50" spans="1:14">
      <c r="A50" s="16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5"/>
    </row>
    <row r="51" spans="1:14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</row>
    <row r="52" spans="1:14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</row>
    <row r="53" spans="1:14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</row>
    <row r="54" spans="1:14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</row>
    <row r="55" spans="1:14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</row>
    <row r="56" spans="1:14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</row>
    <row r="57" spans="1:14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</row>
    <row r="58" spans="1:14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</row>
    <row r="59" spans="1:14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</row>
    <row r="60" spans="1:14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2:M58"/>
  <sheetViews>
    <sheetView topLeftCell="A19" workbookViewId="0">
      <selection activeCell="A2" sqref="A2:M58"/>
    </sheetView>
  </sheetViews>
  <sheetFormatPr defaultRowHeight="15"/>
  <sheetData>
    <row r="2" spans="1:13">
      <c r="A2" s="1" t="s">
        <v>0</v>
      </c>
      <c r="B2" s="1" t="s">
        <v>446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1"/>
      <c r="B3" s="1" t="s">
        <v>447</v>
      </c>
      <c r="C3" s="1"/>
      <c r="D3" s="1"/>
      <c r="E3" s="1"/>
      <c r="F3" s="1" t="s">
        <v>81</v>
      </c>
      <c r="G3" s="1"/>
      <c r="H3" s="1"/>
      <c r="I3" s="1"/>
      <c r="J3" s="1"/>
      <c r="K3" s="1"/>
      <c r="L3" s="1"/>
      <c r="M3" s="1"/>
    </row>
    <row r="4" spans="1:1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15" t="s">
        <v>4</v>
      </c>
      <c r="B5" s="15"/>
      <c r="C5" s="15"/>
      <c r="D5" s="38" t="s">
        <v>5</v>
      </c>
      <c r="E5" s="38" t="s">
        <v>6</v>
      </c>
      <c r="F5" s="38" t="s">
        <v>7</v>
      </c>
      <c r="G5" s="38" t="s">
        <v>8</v>
      </c>
      <c r="H5" s="38" t="s">
        <v>9</v>
      </c>
      <c r="I5" s="38" t="s">
        <v>10</v>
      </c>
      <c r="J5" s="38" t="s">
        <v>11</v>
      </c>
      <c r="K5" s="38" t="s">
        <v>12</v>
      </c>
      <c r="L5" s="2" t="s">
        <v>82</v>
      </c>
      <c r="M5" s="38"/>
    </row>
    <row r="6" spans="1:13">
      <c r="A6" s="27"/>
      <c r="B6" s="27"/>
      <c r="C6" s="27"/>
      <c r="D6" s="32" t="s">
        <v>14</v>
      </c>
      <c r="E6" s="32" t="s">
        <v>15</v>
      </c>
      <c r="F6" s="32" t="s">
        <v>15</v>
      </c>
      <c r="G6" s="32" t="s">
        <v>16</v>
      </c>
      <c r="H6" s="32" t="s">
        <v>17</v>
      </c>
      <c r="I6" s="32" t="s">
        <v>18</v>
      </c>
      <c r="J6" s="32" t="s">
        <v>17</v>
      </c>
      <c r="K6" s="32" t="s">
        <v>17</v>
      </c>
      <c r="L6" s="3" t="s">
        <v>10</v>
      </c>
      <c r="M6" s="32" t="s">
        <v>11</v>
      </c>
    </row>
    <row r="7" spans="1:13">
      <c r="A7" s="27"/>
      <c r="B7" s="27"/>
      <c r="C7" s="27"/>
      <c r="D7" s="32" t="s">
        <v>21</v>
      </c>
      <c r="E7" s="32"/>
      <c r="F7" s="32"/>
      <c r="G7" s="32"/>
      <c r="H7" s="32" t="s">
        <v>22</v>
      </c>
      <c r="I7" s="32" t="s">
        <v>17</v>
      </c>
      <c r="J7" s="32" t="s">
        <v>22</v>
      </c>
      <c r="K7" s="32" t="s">
        <v>22</v>
      </c>
      <c r="L7" s="32"/>
      <c r="M7" s="32"/>
    </row>
    <row r="8" spans="1:13">
      <c r="A8" s="18"/>
      <c r="B8" s="18"/>
      <c r="C8" s="18"/>
      <c r="D8" s="39"/>
      <c r="E8" s="39"/>
      <c r="F8" s="39"/>
      <c r="G8" s="39"/>
      <c r="H8" s="39"/>
      <c r="I8" s="39" t="s">
        <v>22</v>
      </c>
      <c r="J8" s="39"/>
      <c r="K8" s="39"/>
      <c r="L8" s="39"/>
      <c r="M8" s="39"/>
    </row>
    <row r="9" spans="1:13">
      <c r="A9" s="27" t="s">
        <v>23</v>
      </c>
      <c r="B9" s="27"/>
      <c r="C9" s="27"/>
      <c r="D9" s="32">
        <v>83</v>
      </c>
      <c r="E9" s="171">
        <v>5.2</v>
      </c>
      <c r="F9" s="171">
        <v>5.2</v>
      </c>
      <c r="G9" s="41">
        <v>1185</v>
      </c>
      <c r="H9" s="41">
        <v>6162</v>
      </c>
      <c r="I9" s="32"/>
      <c r="J9" s="41">
        <v>843</v>
      </c>
      <c r="K9" s="41">
        <f>SUM(H9:J9)</f>
        <v>7005</v>
      </c>
      <c r="L9" s="32"/>
      <c r="M9" s="32"/>
    </row>
    <row r="10" spans="1:13">
      <c r="A10" s="1" t="s">
        <v>94</v>
      </c>
      <c r="B10" s="1"/>
      <c r="C10" s="1"/>
      <c r="D10" s="4">
        <v>83</v>
      </c>
      <c r="E10" s="310">
        <v>8.6999999999999993</v>
      </c>
      <c r="F10" s="5">
        <v>6.2</v>
      </c>
      <c r="G10" s="6">
        <v>1185</v>
      </c>
      <c r="H10" s="41">
        <v>10310</v>
      </c>
      <c r="I10" s="1"/>
      <c r="J10" s="7"/>
      <c r="K10" s="41">
        <f t="shared" ref="K10:K11" si="0">+J10+I10+H10</f>
        <v>10310</v>
      </c>
      <c r="L10" s="1"/>
      <c r="M10" s="1"/>
    </row>
    <row r="11" spans="1:13">
      <c r="A11" s="1" t="s">
        <v>99</v>
      </c>
      <c r="B11" s="1"/>
      <c r="C11" s="1"/>
      <c r="D11" s="4">
        <v>57</v>
      </c>
      <c r="E11" s="5">
        <v>0.9</v>
      </c>
      <c r="F11" s="5">
        <v>0.9</v>
      </c>
      <c r="G11" s="6">
        <v>1185</v>
      </c>
      <c r="H11" s="41">
        <v>1067</v>
      </c>
      <c r="I11" s="7">
        <v>9279</v>
      </c>
      <c r="J11" s="7"/>
      <c r="K11" s="41">
        <f t="shared" si="0"/>
        <v>10346</v>
      </c>
      <c r="L11" s="7">
        <v>1654</v>
      </c>
      <c r="M11" s="1"/>
    </row>
    <row r="12" spans="1:13">
      <c r="A12" s="12" t="s">
        <v>120</v>
      </c>
      <c r="B12" s="1"/>
      <c r="C12" s="1"/>
      <c r="D12" s="58" t="s">
        <v>372</v>
      </c>
      <c r="E12" s="66" t="s">
        <v>448</v>
      </c>
      <c r="F12" s="66" t="s">
        <v>449</v>
      </c>
      <c r="G12" s="67" t="s">
        <v>450</v>
      </c>
      <c r="H12" s="68" t="s">
        <v>451</v>
      </c>
      <c r="I12" s="1"/>
      <c r="J12" s="7"/>
      <c r="K12" s="41"/>
      <c r="L12" s="1"/>
      <c r="M12" s="1"/>
    </row>
    <row r="13" spans="1:13">
      <c r="A13" s="1" t="s">
        <v>452</v>
      </c>
      <c r="B13" s="1"/>
      <c r="C13" s="1"/>
      <c r="D13" s="4">
        <v>100</v>
      </c>
      <c r="E13" s="310">
        <v>11.7</v>
      </c>
      <c r="F13" s="5">
        <v>7.6</v>
      </c>
      <c r="G13" s="6">
        <v>1046</v>
      </c>
      <c r="H13" s="7">
        <v>12238</v>
      </c>
      <c r="I13" s="1"/>
      <c r="J13" s="7">
        <v>2037</v>
      </c>
      <c r="K13" s="41">
        <f t="shared" ref="K13:K21" si="1">+J13+I13+H13</f>
        <v>14275</v>
      </c>
      <c r="L13" s="11"/>
      <c r="M13" s="7"/>
    </row>
    <row r="14" spans="1:13">
      <c r="A14" s="1" t="s">
        <v>95</v>
      </c>
      <c r="B14" s="1"/>
      <c r="C14" s="1"/>
      <c r="D14" s="4">
        <v>100</v>
      </c>
      <c r="E14" s="5">
        <v>15.5</v>
      </c>
      <c r="F14" s="5">
        <v>9.9</v>
      </c>
      <c r="G14" s="6">
        <v>1193</v>
      </c>
      <c r="H14" s="7">
        <v>18492</v>
      </c>
      <c r="I14" s="1"/>
      <c r="J14" s="7">
        <v>8052</v>
      </c>
      <c r="K14" s="41">
        <f t="shared" si="1"/>
        <v>26544</v>
      </c>
      <c r="L14" s="11"/>
      <c r="M14" s="7"/>
    </row>
    <row r="15" spans="1:13">
      <c r="A15" s="1" t="s">
        <v>86</v>
      </c>
      <c r="B15" s="1"/>
      <c r="C15" s="1"/>
      <c r="D15" s="4">
        <v>100</v>
      </c>
      <c r="E15" s="5">
        <v>6.6</v>
      </c>
      <c r="F15" s="5">
        <v>6.4</v>
      </c>
      <c r="G15" s="6">
        <v>1193</v>
      </c>
      <c r="H15" s="7">
        <v>7874</v>
      </c>
      <c r="I15" s="1"/>
      <c r="J15" s="7">
        <f>+G39*E39+G41*E41+G40*E40</f>
        <v>13009</v>
      </c>
      <c r="K15" s="41">
        <f t="shared" si="1"/>
        <v>20883</v>
      </c>
      <c r="L15" s="1"/>
      <c r="M15" s="1"/>
    </row>
    <row r="16" spans="1:13">
      <c r="A16" s="1" t="s">
        <v>37</v>
      </c>
      <c r="B16" s="1"/>
      <c r="C16" s="1"/>
      <c r="D16" s="4">
        <v>100</v>
      </c>
      <c r="E16" s="5">
        <v>13.5</v>
      </c>
      <c r="F16" s="5">
        <v>7.7</v>
      </c>
      <c r="G16" s="6">
        <v>1171</v>
      </c>
      <c r="H16" s="7">
        <v>15809</v>
      </c>
      <c r="I16" s="1"/>
      <c r="J16" s="7"/>
      <c r="K16" s="41">
        <f t="shared" si="1"/>
        <v>15809</v>
      </c>
      <c r="L16" s="1"/>
      <c r="M16" s="1"/>
    </row>
    <row r="17" spans="1:13">
      <c r="A17" s="1" t="s">
        <v>134</v>
      </c>
      <c r="B17" s="1"/>
      <c r="C17" s="1"/>
      <c r="D17" s="4">
        <v>100</v>
      </c>
      <c r="E17" s="5">
        <v>19.899999999999999</v>
      </c>
      <c r="F17" s="5">
        <v>19.899999999999999</v>
      </c>
      <c r="G17" s="6">
        <v>1268</v>
      </c>
      <c r="H17" s="7">
        <v>25233</v>
      </c>
      <c r="I17" s="1"/>
      <c r="J17" s="7">
        <v>24802</v>
      </c>
      <c r="K17" s="41">
        <f t="shared" si="1"/>
        <v>50035</v>
      </c>
      <c r="L17" s="1"/>
      <c r="M17" s="1"/>
    </row>
    <row r="18" spans="1:13">
      <c r="A18" s="1" t="s">
        <v>453</v>
      </c>
      <c r="B18" s="1"/>
      <c r="C18" s="1"/>
      <c r="D18" s="4">
        <v>100</v>
      </c>
      <c r="E18" s="5">
        <v>10.3</v>
      </c>
      <c r="F18" s="5">
        <v>8</v>
      </c>
      <c r="G18" s="6">
        <v>1195</v>
      </c>
      <c r="H18" s="7">
        <v>12309</v>
      </c>
      <c r="I18" s="1"/>
      <c r="J18" s="7">
        <v>23191</v>
      </c>
      <c r="K18" s="41">
        <f t="shared" si="1"/>
        <v>35500</v>
      </c>
      <c r="L18" s="1"/>
      <c r="M18" s="1"/>
    </row>
    <row r="19" spans="1:13">
      <c r="A19" s="1" t="s">
        <v>454</v>
      </c>
      <c r="B19" s="1"/>
      <c r="C19" s="1"/>
      <c r="D19" s="4">
        <v>100</v>
      </c>
      <c r="E19" s="5">
        <v>10.3</v>
      </c>
      <c r="F19" s="5">
        <v>7.5</v>
      </c>
      <c r="G19" s="6">
        <v>1171</v>
      </c>
      <c r="H19" s="7">
        <v>12061</v>
      </c>
      <c r="I19" s="1"/>
      <c r="J19" s="7"/>
      <c r="K19" s="41">
        <f t="shared" si="1"/>
        <v>12061</v>
      </c>
      <c r="L19" s="1"/>
      <c r="M19" s="1"/>
    </row>
    <row r="20" spans="1:13">
      <c r="A20" s="1" t="s">
        <v>40</v>
      </c>
      <c r="B20" s="1"/>
      <c r="C20" s="1"/>
      <c r="D20" s="4">
        <v>100</v>
      </c>
      <c r="E20" s="5">
        <v>22.8</v>
      </c>
      <c r="F20" s="5">
        <v>22.8</v>
      </c>
      <c r="G20" s="6">
        <v>1029</v>
      </c>
      <c r="H20" s="7">
        <v>23461</v>
      </c>
      <c r="I20" s="7"/>
      <c r="J20" s="7"/>
      <c r="K20" s="41">
        <f t="shared" si="1"/>
        <v>23461</v>
      </c>
      <c r="L20" s="1"/>
      <c r="M20" s="1"/>
    </row>
    <row r="21" spans="1:13">
      <c r="A21" s="1" t="s">
        <v>96</v>
      </c>
      <c r="B21" s="1"/>
      <c r="C21" s="1"/>
      <c r="D21" s="4">
        <v>100</v>
      </c>
      <c r="E21" s="5">
        <v>39.1</v>
      </c>
      <c r="F21" s="5">
        <v>30.4</v>
      </c>
      <c r="G21" s="6">
        <v>1200</v>
      </c>
      <c r="H21" s="7">
        <v>46920</v>
      </c>
      <c r="I21" s="1"/>
      <c r="J21" s="7"/>
      <c r="K21" s="41">
        <f t="shared" si="1"/>
        <v>46920</v>
      </c>
      <c r="L21" s="1"/>
      <c r="M21" s="1"/>
    </row>
    <row r="22" spans="1:13">
      <c r="A22" s="15" t="s">
        <v>43</v>
      </c>
      <c r="B22" s="15"/>
      <c r="C22" s="15"/>
      <c r="D22" s="16"/>
      <c r="E22" s="311">
        <f>SUM(E9:E21)</f>
        <v>164.5</v>
      </c>
      <c r="F22" s="311">
        <f t="shared" ref="F22:M22" si="2">SUM(F9:F21)</f>
        <v>132.5</v>
      </c>
      <c r="G22" s="17">
        <f t="shared" si="2"/>
        <v>14021</v>
      </c>
      <c r="H22" s="17">
        <f t="shared" si="2"/>
        <v>191936</v>
      </c>
      <c r="I22" s="17">
        <f t="shared" si="2"/>
        <v>9279</v>
      </c>
      <c r="J22" s="17">
        <f t="shared" si="2"/>
        <v>71934</v>
      </c>
      <c r="K22" s="17">
        <f t="shared" si="2"/>
        <v>273149</v>
      </c>
      <c r="L22" s="17">
        <f t="shared" si="2"/>
        <v>1654</v>
      </c>
      <c r="M22" s="17">
        <f t="shared" si="2"/>
        <v>0</v>
      </c>
    </row>
    <row r="23" spans="1:13">
      <c r="A23" s="18" t="s">
        <v>44</v>
      </c>
      <c r="B23" s="18"/>
      <c r="C23" s="18"/>
      <c r="D23" s="19"/>
      <c r="E23" s="312">
        <f>SUM(E22-F22)</f>
        <v>32</v>
      </c>
      <c r="F23" s="20"/>
      <c r="G23" s="20"/>
      <c r="H23" s="20">
        <f>+G34*E34</f>
        <v>36352</v>
      </c>
      <c r="I23" s="20">
        <f>I22-L22</f>
        <v>7625</v>
      </c>
      <c r="J23" s="20">
        <f>J22-M22</f>
        <v>71934</v>
      </c>
      <c r="K23" s="20">
        <f>SUM(H23:J23)</f>
        <v>115911</v>
      </c>
      <c r="L23" s="18"/>
      <c r="M23" s="18"/>
    </row>
    <row r="24" spans="1:13">
      <c r="A24" s="1"/>
      <c r="B24" s="1"/>
      <c r="C24" s="1"/>
      <c r="D24" s="1"/>
      <c r="E24" s="5"/>
      <c r="F24" s="5"/>
      <c r="G24" s="1"/>
      <c r="H24" s="1"/>
      <c r="I24" s="1"/>
      <c r="J24" s="1"/>
      <c r="K24" s="7"/>
      <c r="L24" s="1"/>
      <c r="M24" s="1"/>
    </row>
    <row r="25" spans="1:13">
      <c r="A25" s="1"/>
      <c r="B25" s="1"/>
      <c r="C25" s="1" t="s">
        <v>45</v>
      </c>
      <c r="D25" s="1"/>
      <c r="E25" s="1"/>
      <c r="F25" s="1"/>
      <c r="G25" s="11"/>
      <c r="H25" s="1"/>
      <c r="I25" s="7"/>
      <c r="J25" s="7"/>
      <c r="K25" s="7"/>
      <c r="L25" s="1"/>
      <c r="M25" s="1"/>
    </row>
    <row r="26" spans="1:13">
      <c r="A26" s="1"/>
      <c r="B26" s="1"/>
      <c r="C26" s="1"/>
      <c r="D26" s="1"/>
      <c r="E26" s="1"/>
      <c r="F26" s="1"/>
      <c r="G26" s="1"/>
      <c r="H26" s="1"/>
      <c r="I26" s="11">
        <f>+G34*E34</f>
        <v>36352</v>
      </c>
      <c r="J26" s="1"/>
      <c r="K26" s="7"/>
      <c r="L26" s="1"/>
      <c r="M26" s="1"/>
    </row>
    <row r="27" spans="1:13">
      <c r="A27" s="1" t="s">
        <v>46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A28" s="22" t="s">
        <v>47</v>
      </c>
      <c r="B28" s="22"/>
      <c r="C28" s="22"/>
      <c r="D28" s="22" t="s">
        <v>48</v>
      </c>
      <c r="E28" s="22" t="s">
        <v>49</v>
      </c>
      <c r="F28" s="22"/>
      <c r="G28" s="22" t="s">
        <v>89</v>
      </c>
      <c r="H28" s="1"/>
      <c r="I28" s="1"/>
      <c r="J28" s="1"/>
      <c r="K28" s="45"/>
      <c r="L28" s="1"/>
      <c r="M28" s="1"/>
    </row>
    <row r="29" spans="1:13">
      <c r="A29" s="1" t="s">
        <v>53</v>
      </c>
      <c r="B29" s="1"/>
      <c r="C29" s="1" t="s">
        <v>52</v>
      </c>
      <c r="D29" s="1"/>
      <c r="E29" s="1"/>
      <c r="F29" s="1"/>
      <c r="G29" s="1"/>
      <c r="H29" s="1"/>
      <c r="I29" s="1"/>
      <c r="J29" s="1"/>
      <c r="K29" s="45"/>
      <c r="L29" s="1"/>
      <c r="M29" s="1"/>
    </row>
    <row r="30" spans="1:13">
      <c r="A30" s="1" t="s">
        <v>55</v>
      </c>
      <c r="B30" s="1"/>
      <c r="C30" s="1">
        <v>83</v>
      </c>
      <c r="D30" s="7" t="s">
        <v>56</v>
      </c>
      <c r="E30" s="63">
        <v>5.1999999999999998E-2</v>
      </c>
      <c r="F30" s="7"/>
      <c r="G30" s="7">
        <v>154837</v>
      </c>
      <c r="H30" s="1"/>
      <c r="I30" s="46" t="s">
        <v>60</v>
      </c>
      <c r="J30" s="47">
        <v>0.36</v>
      </c>
      <c r="K30" s="45"/>
      <c r="L30" s="1"/>
      <c r="M30" s="1"/>
    </row>
    <row r="31" spans="1:13">
      <c r="A31" s="12" t="s">
        <v>455</v>
      </c>
      <c r="B31" s="1"/>
      <c r="C31" s="12" t="s">
        <v>27</v>
      </c>
      <c r="D31" s="1"/>
      <c r="E31" s="12" t="s">
        <v>456</v>
      </c>
      <c r="F31" s="1"/>
      <c r="G31" s="12" t="s">
        <v>457</v>
      </c>
      <c r="H31" s="1"/>
      <c r="I31" s="49" t="s">
        <v>62</v>
      </c>
      <c r="J31" s="50">
        <v>0.25</v>
      </c>
      <c r="K31" s="45"/>
      <c r="L31" s="1"/>
      <c r="M31" s="1"/>
    </row>
    <row r="32" spans="1:1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>
      <c r="A33" s="1" t="s">
        <v>57</v>
      </c>
      <c r="B33" s="1"/>
      <c r="C33" s="1"/>
      <c r="D33" s="1"/>
      <c r="E33" s="1"/>
      <c r="F33" s="1"/>
      <c r="G33" s="1"/>
      <c r="H33" s="1"/>
      <c r="I33" s="51" t="s">
        <v>51</v>
      </c>
      <c r="J33" s="47" t="s">
        <v>52</v>
      </c>
      <c r="K33" s="1"/>
      <c r="L33" s="1"/>
      <c r="M33" s="1"/>
    </row>
    <row r="34" spans="1:13">
      <c r="A34" s="1" t="s">
        <v>58</v>
      </c>
      <c r="B34" s="1"/>
      <c r="C34" s="1"/>
      <c r="D34" s="29" t="s">
        <v>59</v>
      </c>
      <c r="E34" s="7">
        <v>32</v>
      </c>
      <c r="F34" s="1"/>
      <c r="G34" s="7">
        <v>1136</v>
      </c>
      <c r="H34" s="1"/>
      <c r="I34" s="46" t="s">
        <v>458</v>
      </c>
      <c r="J34" s="51">
        <v>98</v>
      </c>
      <c r="K34" s="1"/>
      <c r="L34" s="1"/>
      <c r="M34" s="1"/>
    </row>
    <row r="35" spans="1:13">
      <c r="A35" s="1" t="s">
        <v>61</v>
      </c>
      <c r="B35" s="1"/>
      <c r="C35" s="1"/>
      <c r="D35" s="29" t="s">
        <v>59</v>
      </c>
      <c r="E35" s="7">
        <v>133</v>
      </c>
      <c r="F35" s="1"/>
      <c r="G35" s="1"/>
      <c r="H35" s="1"/>
      <c r="I35" s="49" t="s">
        <v>459</v>
      </c>
      <c r="J35" s="52">
        <v>2</v>
      </c>
      <c r="K35" s="1"/>
      <c r="L35" s="1"/>
      <c r="M35" s="1"/>
    </row>
    <row r="36" spans="1:13">
      <c r="A36" s="1" t="s">
        <v>6</v>
      </c>
      <c r="B36" s="1"/>
      <c r="C36" s="1"/>
      <c r="D36" s="1"/>
      <c r="E36" s="7">
        <f>SUM(E34:E35)</f>
        <v>165</v>
      </c>
      <c r="F36" s="1"/>
      <c r="G36" s="1"/>
      <c r="H36" s="1"/>
      <c r="I36" s="27"/>
      <c r="J36" s="27"/>
      <c r="K36" s="29"/>
      <c r="L36" s="1"/>
      <c r="M36" s="1"/>
    </row>
    <row r="37" spans="1:1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>
      <c r="A38" s="15" t="s">
        <v>63</v>
      </c>
      <c r="B38" s="15"/>
      <c r="C38" s="15" t="s">
        <v>64</v>
      </c>
      <c r="D38" s="15"/>
      <c r="E38" s="15"/>
      <c r="F38" s="15"/>
      <c r="G38" s="15"/>
      <c r="H38" s="1"/>
      <c r="I38" s="1"/>
      <c r="J38" s="1"/>
      <c r="K38" s="1"/>
      <c r="L38" s="1"/>
      <c r="M38" s="1"/>
    </row>
    <row r="39" spans="1:13">
      <c r="A39" s="27" t="s">
        <v>67</v>
      </c>
      <c r="B39" s="3"/>
      <c r="C39" s="31">
        <v>43</v>
      </c>
      <c r="D39" s="53" t="s">
        <v>66</v>
      </c>
      <c r="E39" s="34">
        <v>61</v>
      </c>
      <c r="F39" s="27"/>
      <c r="G39" s="34">
        <v>26</v>
      </c>
      <c r="H39" s="1"/>
      <c r="I39" s="1"/>
      <c r="J39" s="1"/>
      <c r="K39" s="1"/>
      <c r="L39" s="1"/>
      <c r="M39" s="1"/>
    </row>
    <row r="40" spans="1:13">
      <c r="A40" s="27" t="s">
        <v>92</v>
      </c>
      <c r="B40" s="3"/>
      <c r="C40" s="31">
        <v>70</v>
      </c>
      <c r="D40" s="53" t="s">
        <v>66</v>
      </c>
      <c r="E40" s="34">
        <v>233</v>
      </c>
      <c r="F40" s="34"/>
      <c r="G40" s="34">
        <v>25</v>
      </c>
      <c r="H40" s="1"/>
      <c r="I40" s="1"/>
      <c r="J40" s="1"/>
      <c r="K40" s="1"/>
      <c r="L40" s="1"/>
      <c r="M40" s="1"/>
    </row>
    <row r="41" spans="1:13">
      <c r="A41" s="27" t="s">
        <v>186</v>
      </c>
      <c r="B41" s="3"/>
      <c r="C41" s="31">
        <v>87</v>
      </c>
      <c r="D41" s="53" t="s">
        <v>66</v>
      </c>
      <c r="E41" s="34">
        <v>933</v>
      </c>
      <c r="F41" s="34"/>
      <c r="G41" s="34">
        <v>6</v>
      </c>
      <c r="H41" s="1"/>
      <c r="I41" s="1"/>
      <c r="J41" s="1"/>
      <c r="K41" s="1"/>
      <c r="L41" s="1"/>
      <c r="M41" s="1"/>
    </row>
    <row r="42" spans="1:13">
      <c r="H42" s="1"/>
      <c r="I42" s="1"/>
      <c r="J42" s="1"/>
      <c r="K42" s="1"/>
      <c r="L42" s="1"/>
      <c r="M42" s="1"/>
    </row>
    <row r="43" spans="1:13">
      <c r="A43" s="15" t="s">
        <v>70</v>
      </c>
      <c r="B43" s="15"/>
      <c r="C43" s="15"/>
      <c r="D43" s="15"/>
      <c r="E43" s="15"/>
      <c r="F43" s="15"/>
      <c r="G43" s="15"/>
      <c r="H43" s="1"/>
      <c r="I43" s="1"/>
      <c r="J43" s="1" t="s">
        <v>71</v>
      </c>
      <c r="K43" s="1"/>
      <c r="L43" s="1"/>
      <c r="M43" s="1"/>
    </row>
    <row r="44" spans="1:13">
      <c r="A44" s="27" t="s">
        <v>72</v>
      </c>
      <c r="B44" s="27"/>
      <c r="C44" s="27"/>
      <c r="D44" s="27"/>
      <c r="E44" s="27"/>
      <c r="F44" s="27"/>
      <c r="G44" s="55">
        <v>8782</v>
      </c>
      <c r="H44" s="1"/>
      <c r="I44" s="1"/>
      <c r="J44" s="5">
        <v>21700</v>
      </c>
      <c r="K44" s="11"/>
      <c r="L44" s="1"/>
      <c r="M44" s="1"/>
    </row>
    <row r="45" spans="1:13">
      <c r="A45" s="27" t="s">
        <v>74</v>
      </c>
      <c r="B45" s="27"/>
      <c r="C45" s="27"/>
      <c r="D45" s="27"/>
      <c r="E45" s="27"/>
      <c r="F45" s="27"/>
      <c r="G45" s="56">
        <v>81</v>
      </c>
      <c r="H45" s="1"/>
      <c r="I45" s="1"/>
      <c r="J45" s="5"/>
      <c r="K45" s="11"/>
      <c r="L45" s="1"/>
      <c r="M45" s="1"/>
    </row>
    <row r="46" spans="1:13">
      <c r="A46" s="27" t="s">
        <v>75</v>
      </c>
      <c r="B46" s="27"/>
      <c r="C46" s="27"/>
      <c r="D46" s="27"/>
      <c r="E46" s="27"/>
      <c r="F46" s="27"/>
      <c r="G46" s="56">
        <f>+G45*G44</f>
        <v>711342</v>
      </c>
      <c r="H46" s="1"/>
      <c r="I46" s="1"/>
      <c r="J46" s="5">
        <v>1757726</v>
      </c>
      <c r="K46" s="11"/>
      <c r="L46" s="1"/>
      <c r="M46" s="1"/>
    </row>
    <row r="47" spans="1:13">
      <c r="A47" s="27" t="s">
        <v>76</v>
      </c>
      <c r="B47" s="27"/>
      <c r="C47" s="27"/>
      <c r="D47" s="27"/>
      <c r="E47" s="27"/>
      <c r="F47" s="27"/>
      <c r="G47" s="56">
        <f>+G46-K22</f>
        <v>438193</v>
      </c>
      <c r="H47" s="7"/>
      <c r="I47" s="1"/>
      <c r="J47" s="5">
        <v>1082775</v>
      </c>
      <c r="K47" s="11"/>
      <c r="L47" s="1"/>
      <c r="M47" s="1"/>
    </row>
    <row r="48" spans="1:13">
      <c r="A48" s="27" t="s">
        <v>77</v>
      </c>
      <c r="B48" s="27"/>
      <c r="C48" s="27"/>
      <c r="D48" s="27"/>
      <c r="E48" s="27"/>
      <c r="F48" s="27"/>
      <c r="G48" s="56">
        <f>+G46-K23</f>
        <v>595431</v>
      </c>
      <c r="H48" s="7"/>
      <c r="I48" s="1"/>
      <c r="J48" s="5">
        <v>1471310</v>
      </c>
      <c r="K48" s="11"/>
      <c r="L48" s="1"/>
      <c r="M48" s="1"/>
    </row>
    <row r="49" spans="1:13">
      <c r="A49" s="27"/>
      <c r="B49" s="27"/>
      <c r="C49" s="27"/>
      <c r="D49" s="27"/>
      <c r="E49" s="27"/>
      <c r="F49" s="27"/>
      <c r="G49" s="56"/>
      <c r="H49" s="1"/>
      <c r="I49" s="1"/>
      <c r="J49" s="1"/>
      <c r="K49" s="1"/>
      <c r="L49" s="1"/>
      <c r="M49" s="1"/>
    </row>
    <row r="50" spans="1:13">
      <c r="A50" s="27" t="s">
        <v>78</v>
      </c>
      <c r="B50" s="27"/>
      <c r="C50" s="27"/>
      <c r="D50" s="27"/>
      <c r="E50" s="27"/>
      <c r="F50" s="27"/>
      <c r="G50" s="56">
        <f>+K22/G44</f>
        <v>31.103279435208382</v>
      </c>
      <c r="H50" s="1"/>
      <c r="I50" s="1"/>
      <c r="J50" s="1"/>
      <c r="K50" s="1"/>
      <c r="L50" s="1"/>
      <c r="M50" s="1"/>
    </row>
    <row r="51" spans="1:13">
      <c r="A51" s="18" t="s">
        <v>79</v>
      </c>
      <c r="B51" s="18"/>
      <c r="C51" s="18"/>
      <c r="D51" s="18"/>
      <c r="E51" s="18"/>
      <c r="F51" s="18"/>
      <c r="G51" s="57">
        <f>+K23/G44</f>
        <v>13.198701890230016</v>
      </c>
      <c r="H51" s="1"/>
      <c r="I51" s="1"/>
      <c r="J51" s="1"/>
      <c r="K51" s="1"/>
      <c r="L51" s="1"/>
      <c r="M51" s="1"/>
    </row>
    <row r="52" spans="1: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>
      <c r="A53" s="170"/>
      <c r="B53" s="170"/>
      <c r="C53" s="170"/>
      <c r="D53" s="170"/>
      <c r="E53" s="170"/>
      <c r="F53" s="170"/>
      <c r="G53" s="170"/>
      <c r="H53" s="170"/>
      <c r="I53" s="170"/>
      <c r="J53" s="170"/>
      <c r="K53" s="170"/>
      <c r="L53" s="170"/>
      <c r="M53" s="170"/>
    </row>
    <row r="54" spans="1:13">
      <c r="A54" s="170"/>
      <c r="B54" s="170"/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0"/>
    </row>
    <row r="55" spans="1:13">
      <c r="A55" s="170"/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</row>
    <row r="56" spans="1:13">
      <c r="A56" s="170"/>
      <c r="B56" s="170"/>
      <c r="C56" s="170"/>
      <c r="D56" s="170"/>
      <c r="E56" s="170"/>
      <c r="F56" s="170"/>
      <c r="G56" s="170"/>
      <c r="H56" s="170"/>
      <c r="I56" s="170"/>
      <c r="J56" s="170"/>
      <c r="K56" s="170"/>
      <c r="L56" s="170"/>
      <c r="M56" s="170"/>
    </row>
    <row r="57" spans="1:13">
      <c r="A57" s="170"/>
      <c r="B57" s="170"/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</row>
    <row r="58" spans="1:13">
      <c r="A58" s="170"/>
      <c r="B58" s="170"/>
      <c r="C58" s="170"/>
      <c r="D58" s="170"/>
      <c r="E58" s="170"/>
      <c r="F58" s="170"/>
      <c r="G58" s="170"/>
      <c r="H58" s="170"/>
      <c r="I58" s="170"/>
      <c r="J58" s="170"/>
      <c r="K58" s="170"/>
      <c r="L58" s="170"/>
      <c r="M58" s="170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3:M54"/>
  <sheetViews>
    <sheetView tabSelected="1" topLeftCell="A13" workbookViewId="0">
      <selection activeCell="N43" sqref="N43"/>
    </sheetView>
  </sheetViews>
  <sheetFormatPr defaultRowHeight="15"/>
  <sheetData>
    <row r="3" spans="1:13">
      <c r="A3" s="1" t="s">
        <v>0</v>
      </c>
      <c r="B3" s="1" t="s">
        <v>446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1"/>
      <c r="B4" s="1" t="s">
        <v>460</v>
      </c>
      <c r="C4" s="1"/>
      <c r="D4" s="1"/>
      <c r="E4" s="1"/>
      <c r="F4" s="1" t="s">
        <v>81</v>
      </c>
      <c r="G4" s="1"/>
      <c r="H4" s="1"/>
      <c r="I4" s="1"/>
      <c r="J4" s="1"/>
      <c r="K4" s="1"/>
      <c r="L4" s="1"/>
      <c r="M4" s="1"/>
    </row>
    <row r="5" spans="1:1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>
      <c r="A6" s="15" t="s">
        <v>4</v>
      </c>
      <c r="B6" s="15"/>
      <c r="C6" s="15"/>
      <c r="D6" s="38" t="s">
        <v>5</v>
      </c>
      <c r="E6" s="38" t="s">
        <v>6</v>
      </c>
      <c r="F6" s="38" t="s">
        <v>7</v>
      </c>
      <c r="G6" s="38" t="s">
        <v>8</v>
      </c>
      <c r="H6" s="38" t="s">
        <v>9</v>
      </c>
      <c r="I6" s="38" t="s">
        <v>10</v>
      </c>
      <c r="J6" s="38" t="s">
        <v>11</v>
      </c>
      <c r="K6" s="38" t="s">
        <v>12</v>
      </c>
      <c r="L6" s="2" t="s">
        <v>82</v>
      </c>
      <c r="M6" s="38"/>
    </row>
    <row r="7" spans="1:13">
      <c r="A7" s="27"/>
      <c r="B7" s="27"/>
      <c r="C7" s="27"/>
      <c r="D7" s="32" t="s">
        <v>14</v>
      </c>
      <c r="E7" s="32" t="s">
        <v>15</v>
      </c>
      <c r="F7" s="32" t="s">
        <v>15</v>
      </c>
      <c r="G7" s="32" t="s">
        <v>16</v>
      </c>
      <c r="H7" s="32" t="s">
        <v>17</v>
      </c>
      <c r="I7" s="32" t="s">
        <v>18</v>
      </c>
      <c r="J7" s="32" t="s">
        <v>17</v>
      </c>
      <c r="K7" s="32" t="s">
        <v>17</v>
      </c>
      <c r="L7" s="3" t="s">
        <v>10</v>
      </c>
      <c r="M7" s="32" t="s">
        <v>11</v>
      </c>
    </row>
    <row r="8" spans="1:13">
      <c r="A8" s="27"/>
      <c r="B8" s="27"/>
      <c r="C8" s="27"/>
      <c r="D8" s="32" t="s">
        <v>21</v>
      </c>
      <c r="E8" s="32"/>
      <c r="F8" s="32"/>
      <c r="G8" s="32"/>
      <c r="H8" s="32" t="s">
        <v>22</v>
      </c>
      <c r="I8" s="32" t="s">
        <v>17</v>
      </c>
      <c r="J8" s="32" t="s">
        <v>22</v>
      </c>
      <c r="K8" s="32" t="s">
        <v>22</v>
      </c>
      <c r="L8" s="32"/>
      <c r="M8" s="32"/>
    </row>
    <row r="9" spans="1:13">
      <c r="A9" s="18"/>
      <c r="B9" s="18"/>
      <c r="C9" s="18"/>
      <c r="D9" s="39"/>
      <c r="E9" s="39"/>
      <c r="F9" s="39"/>
      <c r="G9" s="39"/>
      <c r="H9" s="39"/>
      <c r="I9" s="39" t="s">
        <v>22</v>
      </c>
      <c r="J9" s="39"/>
      <c r="K9" s="39"/>
      <c r="L9" s="39"/>
      <c r="M9" s="39"/>
    </row>
    <row r="10" spans="1:13">
      <c r="A10" s="27" t="s">
        <v>23</v>
      </c>
      <c r="B10" s="27"/>
      <c r="C10" s="27"/>
      <c r="D10" s="32">
        <v>100</v>
      </c>
      <c r="E10" s="41">
        <v>7.8</v>
      </c>
      <c r="F10" s="41">
        <v>6.3</v>
      </c>
      <c r="G10" s="41">
        <v>1223</v>
      </c>
      <c r="H10" s="41">
        <v>9539</v>
      </c>
      <c r="I10" s="32"/>
      <c r="J10" s="41">
        <v>1587</v>
      </c>
      <c r="K10" s="41">
        <f>+J10+I10+H10</f>
        <v>11126</v>
      </c>
      <c r="L10" s="32"/>
      <c r="M10" s="32"/>
    </row>
    <row r="11" spans="1:13">
      <c r="A11" s="1" t="s">
        <v>94</v>
      </c>
      <c r="B11" s="1"/>
      <c r="C11" s="1"/>
      <c r="D11" s="4">
        <v>50</v>
      </c>
      <c r="E11" s="42">
        <v>6.3</v>
      </c>
      <c r="F11" s="7">
        <v>2.4</v>
      </c>
      <c r="G11" s="6">
        <v>1360</v>
      </c>
      <c r="H11" s="41">
        <v>8568</v>
      </c>
      <c r="I11" s="1"/>
      <c r="J11" s="7"/>
      <c r="K11" s="41">
        <f t="shared" ref="K11:K12" si="0">+J11+I11+H11</f>
        <v>8568</v>
      </c>
      <c r="L11" s="1"/>
      <c r="M11" s="1"/>
    </row>
    <row r="12" spans="1:13">
      <c r="A12" s="1" t="s">
        <v>99</v>
      </c>
      <c r="B12" s="1"/>
      <c r="C12" s="1"/>
      <c r="D12" s="4">
        <v>53</v>
      </c>
      <c r="E12" s="7">
        <v>1.1000000000000001</v>
      </c>
      <c r="F12" s="7">
        <v>1.1000000000000001</v>
      </c>
      <c r="G12" s="6">
        <v>1500</v>
      </c>
      <c r="H12" s="41">
        <v>1650</v>
      </c>
      <c r="I12" s="7">
        <v>5911</v>
      </c>
      <c r="J12" s="7"/>
      <c r="K12" s="41">
        <f t="shared" si="0"/>
        <v>7561</v>
      </c>
      <c r="L12" s="5">
        <v>171</v>
      </c>
      <c r="M12" s="1"/>
    </row>
    <row r="13" spans="1:13">
      <c r="A13" s="12" t="s">
        <v>120</v>
      </c>
      <c r="B13" s="1"/>
      <c r="C13" s="1"/>
      <c r="D13" s="8" t="s">
        <v>461</v>
      </c>
      <c r="E13" s="13" t="s">
        <v>462</v>
      </c>
      <c r="F13" s="13"/>
      <c r="G13" s="10" t="s">
        <v>463</v>
      </c>
      <c r="H13" s="13" t="s">
        <v>464</v>
      </c>
      <c r="I13" s="1"/>
      <c r="J13" s="7"/>
      <c r="K13" s="41"/>
      <c r="L13" s="11"/>
      <c r="M13" s="1"/>
    </row>
    <row r="14" spans="1:13">
      <c r="A14" s="1" t="s">
        <v>465</v>
      </c>
      <c r="B14" s="1"/>
      <c r="C14" s="1"/>
      <c r="D14" s="8">
        <v>47</v>
      </c>
      <c r="E14" s="13">
        <v>0.9</v>
      </c>
      <c r="F14" s="13">
        <v>0.9</v>
      </c>
      <c r="G14" s="10">
        <v>1500</v>
      </c>
      <c r="H14" s="13">
        <v>1350</v>
      </c>
      <c r="I14" s="7">
        <v>5500</v>
      </c>
      <c r="J14" s="7"/>
      <c r="K14" s="41">
        <f t="shared" ref="K14" si="1">+J14+I14+H14</f>
        <v>6850</v>
      </c>
      <c r="L14" s="5">
        <v>371</v>
      </c>
      <c r="M14" s="1"/>
    </row>
    <row r="15" spans="1:13">
      <c r="A15" s="12" t="s">
        <v>120</v>
      </c>
      <c r="B15" s="1"/>
      <c r="C15" s="1"/>
      <c r="D15" s="8" t="s">
        <v>466</v>
      </c>
      <c r="E15" s="13" t="s">
        <v>467</v>
      </c>
      <c r="F15" s="13"/>
      <c r="G15" s="10" t="s">
        <v>463</v>
      </c>
      <c r="H15" s="13" t="s">
        <v>468</v>
      </c>
      <c r="I15" s="1"/>
      <c r="J15" s="7"/>
      <c r="K15" s="41"/>
      <c r="L15" s="1"/>
      <c r="M15" s="1"/>
    </row>
    <row r="16" spans="1:13">
      <c r="A16" s="1" t="s">
        <v>469</v>
      </c>
      <c r="B16" s="1"/>
      <c r="C16" s="1"/>
      <c r="D16" s="4">
        <v>100</v>
      </c>
      <c r="E16" s="42">
        <v>10.5</v>
      </c>
      <c r="F16" s="7">
        <v>6.4</v>
      </c>
      <c r="G16" s="6">
        <v>1223</v>
      </c>
      <c r="H16" s="7">
        <v>12842</v>
      </c>
      <c r="I16" s="1"/>
      <c r="J16" s="7"/>
      <c r="K16" s="41">
        <f t="shared" ref="K16:K23" si="2">+J16+I16+H16</f>
        <v>12842</v>
      </c>
      <c r="L16" s="11"/>
      <c r="M16" s="7"/>
    </row>
    <row r="17" spans="1:13">
      <c r="A17" s="1" t="s">
        <v>95</v>
      </c>
      <c r="B17" s="1"/>
      <c r="C17" s="1"/>
      <c r="D17" s="4">
        <v>100</v>
      </c>
      <c r="E17" s="7">
        <v>10.7</v>
      </c>
      <c r="F17" s="7">
        <v>4</v>
      </c>
      <c r="G17" s="6">
        <v>1105</v>
      </c>
      <c r="H17" s="7">
        <v>11824</v>
      </c>
      <c r="I17" s="1"/>
      <c r="J17" s="7">
        <v>9322</v>
      </c>
      <c r="K17" s="41">
        <f t="shared" si="2"/>
        <v>21146</v>
      </c>
      <c r="L17" s="11"/>
      <c r="M17" s="7"/>
    </row>
    <row r="18" spans="1:13">
      <c r="A18" s="1" t="s">
        <v>86</v>
      </c>
      <c r="B18" s="1"/>
      <c r="C18" s="1"/>
      <c r="D18" s="4">
        <v>100</v>
      </c>
      <c r="E18" s="7">
        <v>8.6</v>
      </c>
      <c r="F18" s="7">
        <v>6.2</v>
      </c>
      <c r="G18" s="6">
        <v>1223</v>
      </c>
      <c r="H18" s="7">
        <v>10518</v>
      </c>
      <c r="I18" s="1"/>
      <c r="J18" s="7">
        <f>+G42*E42+G43*E43</f>
        <v>14512</v>
      </c>
      <c r="K18" s="41">
        <f t="shared" si="2"/>
        <v>25030</v>
      </c>
      <c r="L18" s="1"/>
      <c r="M18" s="1"/>
    </row>
    <row r="19" spans="1:13">
      <c r="A19" s="1" t="s">
        <v>37</v>
      </c>
      <c r="B19" s="1"/>
      <c r="C19" s="1"/>
      <c r="D19" s="4">
        <v>100</v>
      </c>
      <c r="E19" s="7">
        <v>15.9</v>
      </c>
      <c r="F19" s="7">
        <v>7.5</v>
      </c>
      <c r="G19" s="6">
        <v>1223</v>
      </c>
      <c r="H19" s="7">
        <v>19446</v>
      </c>
      <c r="I19" s="1"/>
      <c r="J19" s="7"/>
      <c r="K19" s="41">
        <f t="shared" si="2"/>
        <v>19446</v>
      </c>
      <c r="L19" s="1"/>
      <c r="M19" s="1"/>
    </row>
    <row r="20" spans="1:13">
      <c r="A20" s="1" t="s">
        <v>134</v>
      </c>
      <c r="B20" s="1"/>
      <c r="C20" s="1"/>
      <c r="D20" s="4">
        <v>100</v>
      </c>
      <c r="E20" s="7">
        <v>8.6999999999999993</v>
      </c>
      <c r="F20" s="7">
        <v>7.7</v>
      </c>
      <c r="G20" s="6">
        <v>1318</v>
      </c>
      <c r="H20" s="7">
        <v>11467</v>
      </c>
      <c r="I20" s="1"/>
      <c r="J20" s="7">
        <v>15487</v>
      </c>
      <c r="K20" s="41">
        <f t="shared" si="2"/>
        <v>26954</v>
      </c>
      <c r="L20" s="1"/>
      <c r="M20" s="1"/>
    </row>
    <row r="21" spans="1:13">
      <c r="A21" s="1" t="s">
        <v>453</v>
      </c>
      <c r="B21" s="1"/>
      <c r="C21" s="1"/>
      <c r="D21" s="4">
        <v>100</v>
      </c>
      <c r="E21" s="7">
        <v>15.5</v>
      </c>
      <c r="F21" s="7">
        <v>7.4</v>
      </c>
      <c r="G21" s="6">
        <v>1318</v>
      </c>
      <c r="H21" s="7">
        <v>20429</v>
      </c>
      <c r="I21" s="1"/>
      <c r="J21" s="7">
        <v>15456</v>
      </c>
      <c r="K21" s="41">
        <f t="shared" si="2"/>
        <v>35885</v>
      </c>
      <c r="L21" s="1"/>
      <c r="M21" s="1"/>
    </row>
    <row r="22" spans="1:13">
      <c r="A22" s="1" t="s">
        <v>331</v>
      </c>
      <c r="B22" s="1"/>
      <c r="C22" s="1"/>
      <c r="D22" s="4">
        <v>100</v>
      </c>
      <c r="E22" s="7">
        <v>11.4</v>
      </c>
      <c r="F22" s="7">
        <v>11.2</v>
      </c>
      <c r="G22" s="6">
        <v>1223</v>
      </c>
      <c r="H22" s="7">
        <v>13942</v>
      </c>
      <c r="I22" s="7"/>
      <c r="J22" s="7"/>
      <c r="K22" s="41">
        <f t="shared" si="2"/>
        <v>13942</v>
      </c>
      <c r="L22" s="1"/>
      <c r="M22" s="1"/>
    </row>
    <row r="23" spans="1:13">
      <c r="A23" s="1" t="s">
        <v>96</v>
      </c>
      <c r="B23" s="1"/>
      <c r="C23" s="1"/>
      <c r="D23" s="4">
        <v>100</v>
      </c>
      <c r="E23" s="7">
        <v>34.700000000000003</v>
      </c>
      <c r="F23" s="7">
        <v>20.8</v>
      </c>
      <c r="G23" s="6">
        <v>1223</v>
      </c>
      <c r="H23" s="7">
        <v>42438</v>
      </c>
      <c r="I23" s="1"/>
      <c r="J23" s="7"/>
      <c r="K23" s="41">
        <f t="shared" si="2"/>
        <v>42438</v>
      </c>
      <c r="L23" s="1"/>
      <c r="M23" s="1"/>
    </row>
    <row r="24" spans="1:13">
      <c r="A24" s="15" t="s">
        <v>333</v>
      </c>
      <c r="B24" s="15"/>
      <c r="C24" s="15"/>
      <c r="D24" s="16"/>
      <c r="E24" s="311">
        <f>SUM(E10:E23)</f>
        <v>132.10000000000002</v>
      </c>
      <c r="F24" s="311">
        <f>SUM(F10:F23)</f>
        <v>81.899999999999991</v>
      </c>
      <c r="G24" s="17"/>
      <c r="H24" s="17">
        <f>SUM(H10:H23)</f>
        <v>164013</v>
      </c>
      <c r="I24" s="17">
        <f t="shared" ref="I24:M24" si="3">SUM(I10:I23)</f>
        <v>11411</v>
      </c>
      <c r="J24" s="17">
        <f t="shared" si="3"/>
        <v>56364</v>
      </c>
      <c r="K24" s="17">
        <f t="shared" si="3"/>
        <v>231788</v>
      </c>
      <c r="L24" s="17">
        <f t="shared" si="3"/>
        <v>542</v>
      </c>
      <c r="M24" s="17">
        <f t="shared" si="3"/>
        <v>0</v>
      </c>
    </row>
    <row r="25" spans="1:13">
      <c r="A25" s="18" t="s">
        <v>334</v>
      </c>
      <c r="B25" s="18"/>
      <c r="C25" s="18"/>
      <c r="D25" s="19"/>
      <c r="E25" s="312">
        <f>SUM(E24-F24)</f>
        <v>50.200000000000031</v>
      </c>
      <c r="F25" s="20"/>
      <c r="G25" s="20"/>
      <c r="H25" s="20">
        <f>+G36*E36</f>
        <v>62150</v>
      </c>
      <c r="I25" s="20">
        <f>I24-L24</f>
        <v>10869</v>
      </c>
      <c r="J25" s="20">
        <f>J24-M24</f>
        <v>56364</v>
      </c>
      <c r="K25" s="20">
        <f>SUM(H25:J25)</f>
        <v>129383</v>
      </c>
      <c r="L25" s="18"/>
      <c r="M25" s="18"/>
    </row>
    <row r="26" spans="1:13">
      <c r="A26" s="1"/>
      <c r="B26" s="1"/>
      <c r="C26" s="1"/>
      <c r="D26" s="1"/>
      <c r="E26" s="7"/>
      <c r="F26" s="7"/>
      <c r="G26" s="1"/>
      <c r="H26" s="1"/>
      <c r="I26" s="1"/>
      <c r="J26" s="1"/>
      <c r="K26" s="7"/>
      <c r="L26" s="1"/>
      <c r="M26" s="1"/>
    </row>
    <row r="27" spans="1:13">
      <c r="A27" s="1"/>
      <c r="B27" s="1"/>
      <c r="C27" s="1" t="s">
        <v>45</v>
      </c>
      <c r="D27" s="1"/>
      <c r="E27" s="1"/>
      <c r="F27" s="1"/>
      <c r="G27" s="1"/>
      <c r="H27" s="7"/>
      <c r="I27" s="7"/>
      <c r="J27" s="7"/>
      <c r="K27" s="7"/>
      <c r="L27" s="1"/>
      <c r="M27" s="1"/>
    </row>
    <row r="28" spans="1:13">
      <c r="A28" s="1"/>
      <c r="B28" s="1"/>
      <c r="C28" s="1"/>
      <c r="D28" s="1"/>
      <c r="E28" s="1"/>
      <c r="F28" s="1"/>
      <c r="G28" s="1"/>
      <c r="H28" s="1"/>
      <c r="I28" s="1"/>
      <c r="J28" s="1"/>
      <c r="K28" s="7"/>
      <c r="L28" s="1"/>
      <c r="M28" s="1"/>
    </row>
    <row r="29" spans="1:13">
      <c r="A29" s="1" t="s">
        <v>46</v>
      </c>
      <c r="B29" s="1"/>
      <c r="C29" s="1"/>
      <c r="D29" s="1"/>
      <c r="E29" s="1"/>
      <c r="F29" s="1"/>
      <c r="G29" s="1"/>
      <c r="H29" s="1"/>
      <c r="I29" s="1"/>
      <c r="J29" s="1"/>
      <c r="K29" s="11"/>
      <c r="L29" s="1"/>
      <c r="M29" s="1"/>
    </row>
    <row r="30" spans="1:13">
      <c r="A30" s="22" t="s">
        <v>47</v>
      </c>
      <c r="B30" s="22"/>
      <c r="C30" s="22"/>
      <c r="D30" s="22" t="s">
        <v>48</v>
      </c>
      <c r="E30" s="22" t="s">
        <v>49</v>
      </c>
      <c r="F30" s="22"/>
      <c r="G30" s="22" t="s">
        <v>89</v>
      </c>
      <c r="H30" s="1"/>
      <c r="I30" s="1"/>
      <c r="J30" s="1"/>
      <c r="K30" s="45"/>
      <c r="L30" s="1"/>
      <c r="M30" s="1"/>
    </row>
    <row r="31" spans="1:13">
      <c r="A31" s="1" t="s">
        <v>53</v>
      </c>
      <c r="B31" s="1"/>
      <c r="C31" s="1"/>
      <c r="D31" s="1"/>
      <c r="E31" s="1"/>
      <c r="F31" s="1"/>
      <c r="G31" s="1"/>
      <c r="H31" s="1"/>
      <c r="I31" s="1"/>
      <c r="J31" s="1"/>
      <c r="K31" s="45"/>
      <c r="L31" s="1"/>
      <c r="M31" s="1"/>
    </row>
    <row r="32" spans="1:13">
      <c r="A32" s="1" t="s">
        <v>55</v>
      </c>
      <c r="B32" s="1"/>
      <c r="C32" s="1"/>
      <c r="D32" s="7" t="s">
        <v>56</v>
      </c>
      <c r="E32" s="63">
        <v>7.0000000000000007E-2</v>
      </c>
      <c r="F32" s="7"/>
      <c r="G32" s="7">
        <v>133178</v>
      </c>
      <c r="H32" s="1"/>
      <c r="I32" s="46" t="s">
        <v>60</v>
      </c>
      <c r="J32" s="47">
        <v>8</v>
      </c>
      <c r="K32" s="45"/>
      <c r="L32" s="1"/>
      <c r="M32" s="1"/>
    </row>
    <row r="33" spans="1:13">
      <c r="A33" s="12"/>
      <c r="B33" s="1"/>
      <c r="C33" s="12"/>
      <c r="D33" s="1"/>
      <c r="E33" s="12"/>
      <c r="F33" s="1"/>
      <c r="G33" s="12"/>
      <c r="H33" s="1"/>
      <c r="I33" s="49" t="s">
        <v>62</v>
      </c>
      <c r="J33" s="50">
        <v>5</v>
      </c>
      <c r="K33" s="45"/>
      <c r="L33" s="1"/>
      <c r="M33" s="1"/>
    </row>
    <row r="34" spans="1: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 t="s">
        <v>57</v>
      </c>
      <c r="B35" s="1"/>
      <c r="C35" s="1"/>
      <c r="D35" s="1"/>
      <c r="E35" s="1"/>
      <c r="F35" s="1"/>
      <c r="G35" s="1"/>
      <c r="H35" s="1"/>
      <c r="I35" s="51" t="s">
        <v>51</v>
      </c>
      <c r="J35" s="47" t="s">
        <v>52</v>
      </c>
      <c r="K35" s="1"/>
      <c r="L35" s="1"/>
      <c r="M35" s="1"/>
    </row>
    <row r="36" spans="1:13">
      <c r="A36" s="1" t="s">
        <v>58</v>
      </c>
      <c r="B36" s="1"/>
      <c r="C36" s="1"/>
      <c r="D36" s="29" t="s">
        <v>59</v>
      </c>
      <c r="E36" s="7">
        <v>50</v>
      </c>
      <c r="F36" s="1"/>
      <c r="G36" s="7">
        <v>1243</v>
      </c>
      <c r="H36" s="1"/>
      <c r="I36" s="46" t="s">
        <v>470</v>
      </c>
      <c r="J36" s="51">
        <v>69</v>
      </c>
      <c r="K36" s="1"/>
      <c r="L36" s="1"/>
      <c r="M36" s="1"/>
    </row>
    <row r="37" spans="1:13">
      <c r="A37" s="1" t="s">
        <v>61</v>
      </c>
      <c r="B37" s="1"/>
      <c r="C37" s="1"/>
      <c r="D37" s="29" t="s">
        <v>59</v>
      </c>
      <c r="E37" s="7">
        <v>82</v>
      </c>
      <c r="F37" s="1"/>
      <c r="G37" s="1"/>
      <c r="H37" s="1"/>
      <c r="I37" s="290" t="s">
        <v>458</v>
      </c>
      <c r="J37" s="61">
        <v>16</v>
      </c>
      <c r="K37" s="1"/>
      <c r="L37" s="1"/>
      <c r="M37" s="1"/>
    </row>
    <row r="38" spans="1:13">
      <c r="A38" s="1" t="s">
        <v>6</v>
      </c>
      <c r="B38" s="1"/>
      <c r="C38" s="1"/>
      <c r="D38" s="1"/>
      <c r="E38" s="7">
        <f>SUM(E36:E37)</f>
        <v>132</v>
      </c>
      <c r="F38" s="1"/>
      <c r="G38" s="1"/>
      <c r="H38" s="1"/>
      <c r="I38" s="49" t="s">
        <v>113</v>
      </c>
      <c r="J38" s="52">
        <v>15</v>
      </c>
      <c r="K38" s="29"/>
      <c r="L38" s="1"/>
      <c r="M38" s="1"/>
    </row>
    <row r="39" spans="1:1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>
      <c r="A40" s="15" t="s">
        <v>63</v>
      </c>
      <c r="B40" s="15"/>
      <c r="C40" s="15" t="s">
        <v>64</v>
      </c>
      <c r="D40" s="15"/>
      <c r="E40" s="15"/>
      <c r="F40" s="15"/>
      <c r="G40" s="15"/>
      <c r="H40" s="1"/>
      <c r="I40" s="1"/>
      <c r="J40" s="1"/>
      <c r="K40" s="1"/>
      <c r="L40" s="1"/>
      <c r="M40" s="1"/>
    </row>
    <row r="41" spans="1:13">
      <c r="A41" s="27"/>
      <c r="B41" s="3"/>
      <c r="C41" s="31"/>
      <c r="D41" s="53"/>
      <c r="E41" s="34"/>
      <c r="F41" s="27"/>
      <c r="G41" s="34"/>
      <c r="H41" s="1"/>
      <c r="I41" s="1"/>
      <c r="J41" s="1"/>
      <c r="K41" s="1"/>
      <c r="L41" s="1"/>
      <c r="M41" s="1"/>
    </row>
    <row r="42" spans="1:13">
      <c r="A42" s="27" t="s">
        <v>92</v>
      </c>
      <c r="B42" s="3"/>
      <c r="C42" s="31">
        <v>100</v>
      </c>
      <c r="D42" s="53" t="s">
        <v>66</v>
      </c>
      <c r="E42" s="34">
        <v>334</v>
      </c>
      <c r="F42" s="34"/>
      <c r="G42" s="34">
        <v>26</v>
      </c>
      <c r="H42" s="1"/>
      <c r="I42" s="1"/>
      <c r="J42" s="1"/>
      <c r="K42" s="1"/>
      <c r="L42" s="1"/>
      <c r="M42" s="1"/>
    </row>
    <row r="43" spans="1:13">
      <c r="A43" s="27" t="s">
        <v>471</v>
      </c>
      <c r="B43" s="3"/>
      <c r="C43" s="31">
        <v>60</v>
      </c>
      <c r="D43" s="53" t="s">
        <v>66</v>
      </c>
      <c r="E43" s="34">
        <v>47</v>
      </c>
      <c r="F43" s="34"/>
      <c r="G43" s="34">
        <v>124</v>
      </c>
      <c r="H43" s="1"/>
      <c r="I43" s="1"/>
      <c r="J43" s="1"/>
      <c r="K43" s="1"/>
      <c r="L43" s="1"/>
      <c r="M43" s="1"/>
    </row>
    <row r="44" spans="1:13">
      <c r="H44" s="1"/>
      <c r="I44" s="1"/>
      <c r="J44" s="1"/>
      <c r="K44" s="1"/>
      <c r="L44" s="1"/>
      <c r="M44" s="1"/>
    </row>
    <row r="45" spans="1:13">
      <c r="A45" s="15" t="s">
        <v>70</v>
      </c>
      <c r="B45" s="15"/>
      <c r="C45" s="15"/>
      <c r="D45" s="15"/>
      <c r="E45" s="15"/>
      <c r="F45" s="15"/>
      <c r="G45" s="15"/>
      <c r="H45" s="1"/>
      <c r="I45" s="1"/>
      <c r="J45" s="1" t="s">
        <v>71</v>
      </c>
      <c r="K45" s="1"/>
      <c r="L45" s="1"/>
      <c r="M45" s="1"/>
    </row>
    <row r="46" spans="1:13">
      <c r="A46" s="27" t="s">
        <v>72</v>
      </c>
      <c r="B46" s="27"/>
      <c r="C46" s="27"/>
      <c r="D46" s="27"/>
      <c r="E46" s="27"/>
      <c r="F46" s="27"/>
      <c r="G46" s="55">
        <v>7110</v>
      </c>
      <c r="H46" s="1"/>
      <c r="I46" s="1"/>
      <c r="J46" s="7">
        <v>17569</v>
      </c>
      <c r="K46" s="11"/>
      <c r="L46" s="1"/>
      <c r="M46" s="1"/>
    </row>
    <row r="47" spans="1:13">
      <c r="A47" s="27" t="s">
        <v>74</v>
      </c>
      <c r="B47" s="27"/>
      <c r="C47" s="27"/>
      <c r="D47" s="27"/>
      <c r="E47" s="27"/>
      <c r="F47" s="27"/>
      <c r="G47" s="56">
        <v>58</v>
      </c>
      <c r="H47" s="1"/>
      <c r="I47" s="1"/>
      <c r="J47" s="7"/>
      <c r="K47" s="11"/>
      <c r="L47" s="1"/>
      <c r="M47" s="1"/>
    </row>
    <row r="48" spans="1:13">
      <c r="A48" s="27" t="s">
        <v>75</v>
      </c>
      <c r="B48" s="27"/>
      <c r="C48" s="27"/>
      <c r="D48" s="27"/>
      <c r="E48" s="27"/>
      <c r="F48" s="27"/>
      <c r="G48" s="56">
        <f>+G47*G46</f>
        <v>412380</v>
      </c>
      <c r="H48" s="7"/>
      <c r="I48" s="1"/>
      <c r="J48" s="7">
        <v>1018991</v>
      </c>
      <c r="K48" s="11"/>
      <c r="L48" s="1"/>
      <c r="M48" s="1"/>
    </row>
    <row r="49" spans="1:13">
      <c r="A49" s="27" t="s">
        <v>76</v>
      </c>
      <c r="B49" s="27"/>
      <c r="C49" s="27"/>
      <c r="D49" s="27"/>
      <c r="E49" s="27"/>
      <c r="F49" s="27"/>
      <c r="G49" s="56">
        <f>+G48-K24</f>
        <v>180592</v>
      </c>
      <c r="H49" s="7"/>
      <c r="I49" s="1"/>
      <c r="J49" s="7">
        <v>446243</v>
      </c>
      <c r="K49" s="11"/>
      <c r="L49" s="1"/>
      <c r="M49" s="1"/>
    </row>
    <row r="50" spans="1:13">
      <c r="A50" s="27" t="s">
        <v>77</v>
      </c>
      <c r="B50" s="27"/>
      <c r="C50" s="27"/>
      <c r="D50" s="27"/>
      <c r="E50" s="27"/>
      <c r="F50" s="27"/>
      <c r="G50" s="56">
        <f>+G48-K25</f>
        <v>282997</v>
      </c>
      <c r="H50" s="7"/>
      <c r="I50" s="1"/>
      <c r="J50" s="7">
        <v>699286</v>
      </c>
      <c r="K50" s="11"/>
      <c r="L50" s="1"/>
      <c r="M50" s="1"/>
    </row>
    <row r="51" spans="1:13">
      <c r="A51" s="27"/>
      <c r="B51" s="27"/>
      <c r="C51" s="27"/>
      <c r="D51" s="27"/>
      <c r="E51" s="27"/>
      <c r="F51" s="27"/>
      <c r="G51" s="56"/>
      <c r="H51" s="1"/>
      <c r="I51" s="1"/>
      <c r="J51" s="1"/>
      <c r="K51" s="1"/>
      <c r="L51" s="1"/>
      <c r="M51" s="1"/>
    </row>
    <row r="52" spans="1:13">
      <c r="A52" s="27" t="s">
        <v>78</v>
      </c>
      <c r="B52" s="27"/>
      <c r="C52" s="27"/>
      <c r="D52" s="27"/>
      <c r="E52" s="27"/>
      <c r="F52" s="27"/>
      <c r="G52" s="56">
        <f>+K24/G46</f>
        <v>32.600281293952179</v>
      </c>
      <c r="H52" s="1"/>
      <c r="I52" s="1"/>
      <c r="J52" s="1"/>
      <c r="K52" s="1"/>
      <c r="L52" s="1"/>
      <c r="M52" s="1"/>
    </row>
    <row r="53" spans="1:13">
      <c r="A53" s="18" t="s">
        <v>79</v>
      </c>
      <c r="B53" s="18"/>
      <c r="C53" s="18"/>
      <c r="D53" s="18"/>
      <c r="E53" s="18"/>
      <c r="F53" s="18"/>
      <c r="G53" s="57">
        <f>+K25/G46</f>
        <v>18.197327707454289</v>
      </c>
      <c r="H53" s="1"/>
      <c r="I53" s="1"/>
      <c r="J53" s="1"/>
      <c r="K53" s="1"/>
      <c r="L53" s="1"/>
      <c r="M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2:BH30"/>
  <sheetViews>
    <sheetView workbookViewId="0">
      <selection activeCell="K32" sqref="K32"/>
    </sheetView>
  </sheetViews>
  <sheetFormatPr defaultRowHeight="15"/>
  <sheetData>
    <row r="2" spans="1:60" ht="15.75">
      <c r="A2" s="181"/>
      <c r="B2" s="180" t="s">
        <v>472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M2" s="181"/>
      <c r="AN2" s="181"/>
      <c r="AO2" s="181"/>
      <c r="AP2" s="181"/>
      <c r="AQ2" s="181"/>
      <c r="AR2" s="181"/>
      <c r="AS2" s="181"/>
      <c r="AT2" s="181"/>
      <c r="AU2" s="181"/>
      <c r="AV2" s="181"/>
      <c r="AW2" s="181"/>
      <c r="AX2" s="181"/>
      <c r="AY2" s="181"/>
      <c r="AZ2" s="181"/>
      <c r="BA2" s="181"/>
      <c r="BB2" s="181"/>
      <c r="BC2" s="181"/>
      <c r="BD2" s="181"/>
      <c r="BE2" s="181"/>
      <c r="BF2" s="181"/>
      <c r="BG2" s="181"/>
      <c r="BH2" s="181"/>
    </row>
    <row r="3" spans="1:60" ht="15.75">
      <c r="A3" s="182"/>
      <c r="B3" s="183" t="s">
        <v>473</v>
      </c>
      <c r="C3" s="184"/>
      <c r="D3" s="184"/>
      <c r="E3" s="185"/>
      <c r="F3" s="185"/>
      <c r="G3" s="185"/>
      <c r="H3" s="185"/>
      <c r="I3" s="185"/>
      <c r="J3" s="185"/>
      <c r="K3" s="182"/>
      <c r="L3" s="182"/>
      <c r="M3" s="182"/>
      <c r="N3" s="182"/>
      <c r="O3" s="182"/>
      <c r="P3" s="182"/>
      <c r="Q3" s="182"/>
      <c r="R3" s="182"/>
      <c r="S3" s="182"/>
      <c r="T3" s="185"/>
      <c r="U3" s="185"/>
      <c r="V3" s="185"/>
      <c r="W3" s="185"/>
      <c r="X3" s="185"/>
      <c r="Y3" s="185"/>
      <c r="Z3" s="185"/>
      <c r="AA3" s="185"/>
      <c r="AB3" s="185"/>
      <c r="AC3" s="182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313"/>
      <c r="AU3" s="184"/>
      <c r="AV3" s="184"/>
      <c r="AW3" s="184"/>
      <c r="AX3" s="184"/>
      <c r="AY3" s="184"/>
      <c r="AZ3" s="184"/>
      <c r="BA3" s="185"/>
      <c r="BB3" s="185"/>
      <c r="BC3" s="185"/>
      <c r="BD3" s="185"/>
      <c r="BE3" s="185"/>
      <c r="BF3" s="182"/>
      <c r="BG3" s="182"/>
      <c r="BH3" s="182"/>
    </row>
    <row r="4" spans="1:60">
      <c r="A4" s="328"/>
      <c r="B4" s="329"/>
      <c r="C4" s="329"/>
      <c r="D4" s="329"/>
      <c r="E4" s="329"/>
      <c r="F4" s="329"/>
      <c r="G4" s="329"/>
      <c r="H4" s="329"/>
      <c r="I4" s="329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7"/>
      <c r="AI4" s="187"/>
      <c r="AJ4" s="186"/>
      <c r="AK4" s="186"/>
      <c r="AL4" s="188"/>
      <c r="AM4" s="186"/>
      <c r="AN4" s="186"/>
      <c r="AO4" s="186"/>
      <c r="AP4" s="186"/>
      <c r="AQ4" s="186"/>
      <c r="AR4" s="186"/>
      <c r="AS4" s="314"/>
      <c r="AT4" s="188"/>
      <c r="AU4" s="315"/>
      <c r="AV4" s="315"/>
      <c r="AW4" s="315"/>
      <c r="AX4" s="315"/>
      <c r="AY4" s="315"/>
      <c r="AZ4" s="315"/>
      <c r="BA4" s="187"/>
      <c r="BB4" s="187"/>
      <c r="BC4" s="187"/>
      <c r="BD4" s="187"/>
      <c r="BE4" s="187"/>
      <c r="BF4" s="186"/>
      <c r="BG4" s="186"/>
      <c r="BH4" s="186"/>
    </row>
    <row r="5" spans="1:60">
      <c r="A5" s="189"/>
      <c r="B5" s="189"/>
      <c r="C5" s="190"/>
      <c r="D5" s="191"/>
      <c r="E5" s="190" t="s">
        <v>248</v>
      </c>
      <c r="F5" s="190"/>
      <c r="G5" s="191"/>
      <c r="H5" s="190" t="s">
        <v>249</v>
      </c>
      <c r="I5" s="190"/>
      <c r="J5" s="190"/>
      <c r="K5" s="190"/>
      <c r="L5" s="190"/>
      <c r="M5" s="190"/>
      <c r="N5" s="190"/>
      <c r="O5" s="190"/>
      <c r="P5" s="192" t="s">
        <v>250</v>
      </c>
      <c r="Q5" s="190"/>
      <c r="R5" s="190"/>
      <c r="S5" s="190"/>
      <c r="T5" s="190"/>
      <c r="U5" s="190"/>
      <c r="V5" s="190"/>
      <c r="W5" s="191"/>
      <c r="X5" s="192" t="s">
        <v>251</v>
      </c>
      <c r="Y5" s="190"/>
      <c r="Z5" s="190"/>
      <c r="AA5" s="190"/>
      <c r="AB5" s="192" t="s">
        <v>252</v>
      </c>
      <c r="AC5" s="190"/>
      <c r="AD5" s="190"/>
      <c r="AE5" s="191"/>
      <c r="AF5" s="191" t="s">
        <v>253</v>
      </c>
      <c r="AG5" s="193"/>
      <c r="AH5" s="193"/>
      <c r="AI5" s="191"/>
      <c r="AJ5" s="193"/>
      <c r="AK5" s="193"/>
      <c r="AL5" s="192"/>
      <c r="AM5" s="193" t="s">
        <v>254</v>
      </c>
      <c r="AN5" s="190"/>
      <c r="AO5" s="190"/>
      <c r="AP5" s="191"/>
      <c r="AQ5" s="186"/>
      <c r="AR5" s="186"/>
      <c r="AS5" s="316"/>
      <c r="AT5" s="213"/>
      <c r="AU5" s="186"/>
      <c r="AV5" s="186"/>
      <c r="AW5" s="186"/>
      <c r="AX5" s="186"/>
      <c r="AY5" s="186"/>
      <c r="AZ5" s="186"/>
      <c r="BA5" s="186"/>
      <c r="BB5" s="186"/>
      <c r="BC5" s="186"/>
      <c r="BD5" s="186"/>
      <c r="BE5" s="186"/>
      <c r="BF5" s="186"/>
      <c r="BG5" s="186"/>
      <c r="BH5" s="186"/>
    </row>
    <row r="6" spans="1:60">
      <c r="A6" s="194"/>
      <c r="B6" s="195"/>
      <c r="C6" s="196"/>
      <c r="D6" s="197"/>
      <c r="E6" s="198"/>
      <c r="F6" s="198"/>
      <c r="G6" s="199"/>
      <c r="H6" s="330" t="s">
        <v>255</v>
      </c>
      <c r="I6" s="330"/>
      <c r="J6" s="330"/>
      <c r="K6" s="330"/>
      <c r="L6" s="330"/>
      <c r="M6" s="330"/>
      <c r="N6" s="330"/>
      <c r="O6" s="330"/>
      <c r="P6" s="331" t="s">
        <v>256</v>
      </c>
      <c r="Q6" s="330"/>
      <c r="R6" s="330"/>
      <c r="S6" s="330"/>
      <c r="T6" s="330"/>
      <c r="U6" s="330"/>
      <c r="V6" s="330"/>
      <c r="W6" s="200"/>
      <c r="X6" s="201"/>
      <c r="Y6" s="202"/>
      <c r="Z6" s="202"/>
      <c r="AA6" s="202"/>
      <c r="AB6" s="203"/>
      <c r="AC6" s="204"/>
      <c r="AD6" s="198"/>
      <c r="AE6" s="197"/>
      <c r="AF6" s="191"/>
      <c r="AG6" s="193"/>
      <c r="AH6" s="193"/>
      <c r="AI6" s="193" t="s">
        <v>257</v>
      </c>
      <c r="AJ6" s="193" t="s">
        <v>257</v>
      </c>
      <c r="AK6" s="193" t="s">
        <v>258</v>
      </c>
      <c r="AL6" s="193" t="s">
        <v>258</v>
      </c>
      <c r="AM6" s="193" t="s">
        <v>259</v>
      </c>
      <c r="AN6" s="193" t="s">
        <v>259</v>
      </c>
      <c r="AO6" s="193" t="s">
        <v>260</v>
      </c>
      <c r="AP6" s="192" t="s">
        <v>260</v>
      </c>
      <c r="AQ6" s="205"/>
      <c r="AR6" s="206"/>
      <c r="AS6" s="316"/>
      <c r="AT6" s="213"/>
      <c r="AU6" s="186"/>
      <c r="AV6" s="186"/>
      <c r="AW6" s="186"/>
      <c r="AX6" s="186"/>
      <c r="AY6" s="186"/>
      <c r="AZ6" s="186"/>
      <c r="BA6" s="186"/>
      <c r="BB6" s="186"/>
      <c r="BC6" s="186"/>
      <c r="BD6" s="186"/>
      <c r="BE6" s="186"/>
      <c r="BF6" s="186"/>
      <c r="BG6" s="186"/>
      <c r="BH6" s="186"/>
    </row>
    <row r="7" spans="1:60">
      <c r="A7" s="207" t="s">
        <v>261</v>
      </c>
      <c r="B7" s="208" t="s">
        <v>262</v>
      </c>
      <c r="C7" s="208" t="s">
        <v>263</v>
      </c>
      <c r="D7" s="208" t="s">
        <v>264</v>
      </c>
      <c r="E7" s="208" t="s">
        <v>265</v>
      </c>
      <c r="F7" s="208" t="s">
        <v>265</v>
      </c>
      <c r="G7" s="208" t="s">
        <v>52</v>
      </c>
      <c r="H7" s="193" t="s">
        <v>266</v>
      </c>
      <c r="I7" s="193" t="s">
        <v>52</v>
      </c>
      <c r="J7" s="193" t="s">
        <v>267</v>
      </c>
      <c r="K7" s="193" t="s">
        <v>52</v>
      </c>
      <c r="L7" s="193" t="s">
        <v>20</v>
      </c>
      <c r="M7" s="193" t="s">
        <v>52</v>
      </c>
      <c r="N7" s="193" t="s">
        <v>6</v>
      </c>
      <c r="O7" s="193" t="s">
        <v>268</v>
      </c>
      <c r="P7" s="193" t="s">
        <v>266</v>
      </c>
      <c r="Q7" s="193" t="s">
        <v>52</v>
      </c>
      <c r="R7" s="193" t="s">
        <v>267</v>
      </c>
      <c r="S7" s="193" t="s">
        <v>52</v>
      </c>
      <c r="T7" s="193" t="s">
        <v>20</v>
      </c>
      <c r="U7" s="193" t="s">
        <v>52</v>
      </c>
      <c r="V7" s="193" t="s">
        <v>6</v>
      </c>
      <c r="W7" s="193" t="s">
        <v>269</v>
      </c>
      <c r="X7" s="193" t="s">
        <v>270</v>
      </c>
      <c r="Y7" s="209" t="s">
        <v>271</v>
      </c>
      <c r="Z7" s="193" t="s">
        <v>6</v>
      </c>
      <c r="AA7" s="193" t="s">
        <v>272</v>
      </c>
      <c r="AB7" s="208" t="s">
        <v>273</v>
      </c>
      <c r="AC7" s="208" t="s">
        <v>6</v>
      </c>
      <c r="AD7" s="210" t="s">
        <v>274</v>
      </c>
      <c r="AE7" s="208" t="s">
        <v>275</v>
      </c>
      <c r="AF7" s="208" t="s">
        <v>276</v>
      </c>
      <c r="AG7" s="208" t="s">
        <v>277</v>
      </c>
      <c r="AH7" s="208" t="s">
        <v>278</v>
      </c>
      <c r="AI7" s="208" t="s">
        <v>255</v>
      </c>
      <c r="AJ7" s="208" t="s">
        <v>256</v>
      </c>
      <c r="AK7" s="208" t="s">
        <v>279</v>
      </c>
      <c r="AL7" s="208" t="s">
        <v>279</v>
      </c>
      <c r="AM7" s="208" t="s">
        <v>280</v>
      </c>
      <c r="AN7" s="208" t="s">
        <v>280</v>
      </c>
      <c r="AO7" s="208" t="s">
        <v>281</v>
      </c>
      <c r="AP7" s="208" t="s">
        <v>281</v>
      </c>
      <c r="AQ7" s="207"/>
      <c r="AR7" s="207"/>
      <c r="AS7" s="316"/>
      <c r="AT7" s="213"/>
      <c r="AU7" s="186"/>
      <c r="AV7" s="186"/>
      <c r="AW7" s="186"/>
      <c r="AX7" s="186"/>
      <c r="AY7" s="186"/>
      <c r="AZ7" s="186"/>
      <c r="BA7" s="186"/>
      <c r="BB7" s="186"/>
      <c r="BC7" s="186"/>
      <c r="BD7" s="186"/>
      <c r="BE7" s="186"/>
      <c r="BF7" s="186"/>
      <c r="BG7" s="186"/>
      <c r="BH7" s="186"/>
    </row>
    <row r="8" spans="1:60">
      <c r="A8" s="207"/>
      <c r="B8" s="208"/>
      <c r="C8" s="208"/>
      <c r="D8" s="208"/>
      <c r="E8" s="208" t="s">
        <v>282</v>
      </c>
      <c r="F8" s="208" t="s">
        <v>282</v>
      </c>
      <c r="G8" s="208"/>
      <c r="H8" s="208" t="s">
        <v>283</v>
      </c>
      <c r="I8" s="208"/>
      <c r="J8" s="208" t="s">
        <v>283</v>
      </c>
      <c r="K8" s="208"/>
      <c r="L8" s="208" t="s">
        <v>283</v>
      </c>
      <c r="M8" s="208"/>
      <c r="N8" s="208" t="s">
        <v>284</v>
      </c>
      <c r="O8" s="208"/>
      <c r="P8" s="208" t="s">
        <v>283</v>
      </c>
      <c r="Q8" s="208"/>
      <c r="R8" s="208" t="s">
        <v>283</v>
      </c>
      <c r="S8" s="208"/>
      <c r="T8" s="208" t="s">
        <v>283</v>
      </c>
      <c r="U8" s="208"/>
      <c r="V8" s="208"/>
      <c r="W8" s="208"/>
      <c r="X8" s="208" t="s">
        <v>266</v>
      </c>
      <c r="Y8" s="208" t="s">
        <v>266</v>
      </c>
      <c r="Z8" s="208" t="s">
        <v>266</v>
      </c>
      <c r="AA8" s="208" t="s">
        <v>285</v>
      </c>
      <c r="AB8" s="211" t="s">
        <v>286</v>
      </c>
      <c r="AC8" s="208" t="s">
        <v>287</v>
      </c>
      <c r="AD8" s="210" t="s">
        <v>288</v>
      </c>
      <c r="AE8" s="208" t="s">
        <v>289</v>
      </c>
      <c r="AF8" s="208" t="s">
        <v>56</v>
      </c>
      <c r="AG8" s="208" t="s">
        <v>290</v>
      </c>
      <c r="AH8" s="208" t="s">
        <v>258</v>
      </c>
      <c r="AI8" s="208" t="s">
        <v>291</v>
      </c>
      <c r="AJ8" s="208" t="s">
        <v>291</v>
      </c>
      <c r="AK8" s="208" t="s">
        <v>266</v>
      </c>
      <c r="AL8" s="208" t="s">
        <v>292</v>
      </c>
      <c r="AM8" s="208" t="s">
        <v>255</v>
      </c>
      <c r="AN8" s="208" t="s">
        <v>256</v>
      </c>
      <c r="AO8" s="208" t="s">
        <v>255</v>
      </c>
      <c r="AP8" s="208" t="s">
        <v>256</v>
      </c>
      <c r="AQ8" s="207" t="s">
        <v>60</v>
      </c>
      <c r="AR8" s="207" t="s">
        <v>62</v>
      </c>
      <c r="AS8" s="316"/>
      <c r="AT8" s="213"/>
      <c r="AU8" s="186"/>
      <c r="AV8" s="186"/>
      <c r="AW8" s="186"/>
      <c r="AX8" s="186"/>
      <c r="AY8" s="186"/>
      <c r="AZ8" s="186"/>
      <c r="BA8" s="186"/>
      <c r="BB8" s="186"/>
      <c r="BC8" s="186"/>
      <c r="BD8" s="186"/>
      <c r="BE8" s="186"/>
      <c r="BF8" s="186"/>
      <c r="BG8" s="186"/>
      <c r="BH8" s="186"/>
    </row>
    <row r="9" spans="1:60">
      <c r="A9" s="212"/>
      <c r="B9" s="211"/>
      <c r="C9" s="211"/>
      <c r="D9" s="211"/>
      <c r="E9" s="211" t="s">
        <v>255</v>
      </c>
      <c r="F9" s="211" t="s">
        <v>256</v>
      </c>
      <c r="G9" s="211"/>
      <c r="H9" s="208"/>
      <c r="I9" s="211"/>
      <c r="J9" s="208"/>
      <c r="K9" s="211"/>
      <c r="L9" s="208"/>
      <c r="M9" s="211"/>
      <c r="N9" s="211"/>
      <c r="O9" s="211"/>
      <c r="P9" s="211"/>
      <c r="Q9" s="211"/>
      <c r="R9" s="211"/>
      <c r="S9" s="211"/>
      <c r="T9" s="211"/>
      <c r="U9" s="211"/>
      <c r="V9" s="208"/>
      <c r="W9" s="211"/>
      <c r="X9" s="211"/>
      <c r="Y9" s="211"/>
      <c r="Z9" s="211"/>
      <c r="AA9" s="211"/>
      <c r="AB9" s="213"/>
      <c r="AC9" s="208" t="s">
        <v>286</v>
      </c>
      <c r="AD9" s="210"/>
      <c r="AE9" s="211"/>
      <c r="AF9" s="214"/>
      <c r="AG9" s="208"/>
      <c r="AH9" s="211" t="s">
        <v>291</v>
      </c>
      <c r="AI9" s="211"/>
      <c r="AJ9" s="211"/>
      <c r="AK9" s="211"/>
      <c r="AL9" s="211"/>
      <c r="AM9" s="211"/>
      <c r="AN9" s="211"/>
      <c r="AO9" s="208"/>
      <c r="AP9" s="211"/>
      <c r="AQ9" s="212"/>
      <c r="AR9" s="212"/>
      <c r="AS9" s="316"/>
      <c r="AT9" s="213"/>
      <c r="AU9" s="186"/>
      <c r="AV9" s="186"/>
      <c r="AW9" s="186"/>
      <c r="AX9" s="186"/>
      <c r="AY9" s="186"/>
      <c r="AZ9" s="186"/>
      <c r="BA9" s="186"/>
      <c r="BB9" s="186"/>
      <c r="BC9" s="186"/>
      <c r="BD9" s="186"/>
      <c r="BE9" s="186"/>
      <c r="BF9" s="186"/>
      <c r="BG9" s="186"/>
      <c r="BH9" s="186"/>
    </row>
    <row r="10" spans="1:60">
      <c r="A10" s="215">
        <v>1</v>
      </c>
      <c r="B10" s="215" t="s">
        <v>293</v>
      </c>
      <c r="C10" s="216" t="s">
        <v>152</v>
      </c>
      <c r="D10" s="215" t="s">
        <v>294</v>
      </c>
      <c r="E10" s="317">
        <v>74694</v>
      </c>
      <c r="F10" s="317">
        <v>37408</v>
      </c>
      <c r="G10" s="218">
        <f t="shared" ref="G10:G28" si="0">+(F10/E10)*100</f>
        <v>50.081666532787104</v>
      </c>
      <c r="H10" s="217">
        <v>47922</v>
      </c>
      <c r="I10" s="218">
        <f>H10/N10*100</f>
        <v>64.157763675797256</v>
      </c>
      <c r="J10" s="217">
        <v>8433</v>
      </c>
      <c r="K10" s="218">
        <f>J10/N10*100</f>
        <v>11.290063458912362</v>
      </c>
      <c r="L10" s="217">
        <v>18339</v>
      </c>
      <c r="M10" s="218">
        <f>L10/N10*100</f>
        <v>24.552172865290384</v>
      </c>
      <c r="N10" s="218">
        <f t="shared" ref="N10:O28" si="1">H10+J10+L10</f>
        <v>74694</v>
      </c>
      <c r="O10" s="218">
        <f>I10+K10+M10</f>
        <v>100</v>
      </c>
      <c r="P10" s="217">
        <v>10782</v>
      </c>
      <c r="Q10" s="218">
        <f t="shared" ref="Q10:Q28" si="2">+(P10/V10)*100</f>
        <v>28.822711719418304</v>
      </c>
      <c r="R10" s="217">
        <v>8287</v>
      </c>
      <c r="S10" s="218">
        <f t="shared" ref="S10:S28" si="3">+(R10/V10)*100</f>
        <v>22.153015397775878</v>
      </c>
      <c r="T10" s="217">
        <v>18339</v>
      </c>
      <c r="U10" s="218">
        <f t="shared" ref="U10:U28" si="4">+(T10/V10)*100</f>
        <v>49.024272882805818</v>
      </c>
      <c r="V10" s="218">
        <f t="shared" ref="V10:W28" si="5">+T10+R10+P10</f>
        <v>37408</v>
      </c>
      <c r="W10" s="222">
        <f t="shared" si="5"/>
        <v>100</v>
      </c>
      <c r="X10" s="217">
        <v>9</v>
      </c>
      <c r="Y10" s="217">
        <v>31</v>
      </c>
      <c r="Z10" s="218">
        <f t="shared" ref="Z10:Z28" si="6">+Y10+X10</f>
        <v>40</v>
      </c>
      <c r="AA10" s="217">
        <v>1198</v>
      </c>
      <c r="AB10" s="218"/>
      <c r="AC10" s="219">
        <f>101+46+97</f>
        <v>244</v>
      </c>
      <c r="AD10" s="218">
        <v>5999</v>
      </c>
      <c r="AE10" s="219">
        <f t="shared" ref="AE10:AE28" si="7">+(AD10/L10)*100</f>
        <v>32.711707290473854</v>
      </c>
      <c r="AF10" s="217">
        <v>1835</v>
      </c>
      <c r="AG10" s="220">
        <v>50</v>
      </c>
      <c r="AH10" s="218">
        <f t="shared" ref="AH10:AH28" si="8">+AF10*AG10</f>
        <v>91750</v>
      </c>
      <c r="AI10" s="218">
        <f t="shared" ref="AI10:AI28" si="9">+AH10-E10</f>
        <v>17056</v>
      </c>
      <c r="AJ10" s="219">
        <f t="shared" ref="AJ10:AJ28" si="10">+(AH10-F10)</f>
        <v>54342</v>
      </c>
      <c r="AK10" s="218">
        <f t="shared" ref="AK10:AK28" si="11">+(AJ10+P10)/Z10</f>
        <v>1628.1</v>
      </c>
      <c r="AL10" s="221">
        <f t="shared" ref="AL10:AL28" si="12">+(AH10/F10)</f>
        <v>2.4526839178785287</v>
      </c>
      <c r="AM10" s="221">
        <f t="shared" ref="AM10:AM28" si="13">+E10/AF10</f>
        <v>40.705177111716623</v>
      </c>
      <c r="AN10" s="221">
        <f t="shared" ref="AN10:AN28" si="14">+F10/AF10</f>
        <v>20.385831062670299</v>
      </c>
      <c r="AO10" s="218">
        <f t="shared" ref="AO10:AO28" si="15">+(E10/AG10)</f>
        <v>1493.88</v>
      </c>
      <c r="AP10" s="218">
        <f t="shared" ref="AP10:AP28" si="16">+(F10/AG10)</f>
        <v>748.16</v>
      </c>
      <c r="AQ10" s="222">
        <v>1.7</v>
      </c>
      <c r="AR10" s="222">
        <v>1</v>
      </c>
      <c r="AS10" s="318"/>
      <c r="AT10" s="213"/>
      <c r="AU10" s="213"/>
      <c r="AV10" s="213"/>
      <c r="AW10" s="213"/>
      <c r="AX10" s="213"/>
      <c r="AY10" s="213"/>
      <c r="AZ10" s="213"/>
      <c r="BA10" s="213"/>
      <c r="BB10" s="213"/>
      <c r="BC10" s="213"/>
      <c r="BD10" s="213"/>
      <c r="BE10" s="213"/>
      <c r="BF10" s="213"/>
      <c r="BG10" s="213"/>
      <c r="BH10" s="213"/>
    </row>
    <row r="11" spans="1:60">
      <c r="A11" s="215">
        <v>2</v>
      </c>
      <c r="B11" s="215" t="s">
        <v>295</v>
      </c>
      <c r="C11" s="215" t="s">
        <v>296</v>
      </c>
      <c r="D11" s="215" t="s">
        <v>297</v>
      </c>
      <c r="E11" s="317">
        <v>38058</v>
      </c>
      <c r="F11" s="317">
        <v>21349</v>
      </c>
      <c r="G11" s="218">
        <f t="shared" si="0"/>
        <v>56.095958799726731</v>
      </c>
      <c r="H11" s="217">
        <v>27527</v>
      </c>
      <c r="I11" s="218">
        <f t="shared" ref="I11:I28" si="17">H11/N11*100</f>
        <v>72.329076672447314</v>
      </c>
      <c r="J11" s="217">
        <v>5610</v>
      </c>
      <c r="K11" s="218">
        <f t="shared" ref="K11:K28" si="18">J11/N11*100</f>
        <v>14.740658994166797</v>
      </c>
      <c r="L11" s="217">
        <v>4921</v>
      </c>
      <c r="M11" s="218">
        <f t="shared" ref="M11:M28" si="19">L11/N11*100</f>
        <v>12.930264333385885</v>
      </c>
      <c r="N11" s="218">
        <f t="shared" si="1"/>
        <v>38058</v>
      </c>
      <c r="O11" s="218">
        <f t="shared" si="1"/>
        <v>100</v>
      </c>
      <c r="P11" s="217">
        <v>11259</v>
      </c>
      <c r="Q11" s="218">
        <f t="shared" si="2"/>
        <v>52.737833153777693</v>
      </c>
      <c r="R11" s="217">
        <v>5504</v>
      </c>
      <c r="S11" s="218">
        <f t="shared" si="3"/>
        <v>25.781067028900651</v>
      </c>
      <c r="T11" s="217">
        <v>4586</v>
      </c>
      <c r="U11" s="218">
        <f t="shared" si="4"/>
        <v>21.481099817321656</v>
      </c>
      <c r="V11" s="218">
        <f t="shared" si="5"/>
        <v>21349</v>
      </c>
      <c r="W11" s="222">
        <f>+U11+S11+Q11</f>
        <v>100</v>
      </c>
      <c r="X11" s="217">
        <v>9</v>
      </c>
      <c r="Y11" s="217">
        <v>13</v>
      </c>
      <c r="Z11" s="218">
        <f t="shared" si="6"/>
        <v>22</v>
      </c>
      <c r="AA11" s="217">
        <v>1251</v>
      </c>
      <c r="AB11" s="218"/>
      <c r="AC11" s="219"/>
      <c r="AD11" s="218"/>
      <c r="AE11" s="219">
        <f t="shared" si="7"/>
        <v>0</v>
      </c>
      <c r="AF11" s="217">
        <v>264</v>
      </c>
      <c r="AG11" s="220">
        <v>174</v>
      </c>
      <c r="AH11" s="218">
        <f t="shared" si="8"/>
        <v>45936</v>
      </c>
      <c r="AI11" s="218">
        <f t="shared" si="9"/>
        <v>7878</v>
      </c>
      <c r="AJ11" s="219">
        <f t="shared" si="10"/>
        <v>24587</v>
      </c>
      <c r="AK11" s="218">
        <f t="shared" si="11"/>
        <v>1629.3636363636363</v>
      </c>
      <c r="AL11" s="221">
        <f t="shared" si="12"/>
        <v>2.1516698674410981</v>
      </c>
      <c r="AM11" s="221">
        <f t="shared" si="13"/>
        <v>144.15909090909091</v>
      </c>
      <c r="AN11" s="221">
        <f t="shared" si="14"/>
        <v>80.867424242424249</v>
      </c>
      <c r="AO11" s="218">
        <f t="shared" si="15"/>
        <v>218.72413793103448</v>
      </c>
      <c r="AP11" s="218">
        <f t="shared" si="16"/>
        <v>122.69540229885058</v>
      </c>
      <c r="AQ11" s="222">
        <v>1.7</v>
      </c>
      <c r="AR11" s="222">
        <v>1</v>
      </c>
      <c r="AS11" s="318"/>
      <c r="AT11" s="213"/>
      <c r="AU11" s="213"/>
      <c r="AV11" s="213"/>
      <c r="AW11" s="213"/>
      <c r="AX11" s="213"/>
      <c r="AY11" s="213"/>
      <c r="AZ11" s="213"/>
      <c r="BA11" s="213"/>
      <c r="BB11" s="213"/>
      <c r="BC11" s="213"/>
      <c r="BD11" s="213"/>
      <c r="BE11" s="213"/>
      <c r="BF11" s="213"/>
      <c r="BG11" s="213"/>
      <c r="BH11" s="213"/>
    </row>
    <row r="12" spans="1:60">
      <c r="A12" s="215">
        <v>3</v>
      </c>
      <c r="B12" s="215" t="s">
        <v>298</v>
      </c>
      <c r="C12" s="216" t="s">
        <v>2</v>
      </c>
      <c r="D12" s="215" t="s">
        <v>294</v>
      </c>
      <c r="E12" s="317">
        <v>233367</v>
      </c>
      <c r="F12" s="317">
        <v>150398</v>
      </c>
      <c r="G12" s="218">
        <f t="shared" si="0"/>
        <v>64.44698693474227</v>
      </c>
      <c r="H12" s="217">
        <v>149174</v>
      </c>
      <c r="I12" s="218">
        <f t="shared" si="17"/>
        <v>63.922491183414962</v>
      </c>
      <c r="J12" s="217">
        <v>29639</v>
      </c>
      <c r="K12" s="218">
        <f t="shared" si="18"/>
        <v>12.700596056854655</v>
      </c>
      <c r="L12" s="217">
        <v>54554</v>
      </c>
      <c r="M12" s="218">
        <f t="shared" si="19"/>
        <v>23.376912759730381</v>
      </c>
      <c r="N12" s="218">
        <f t="shared" si="1"/>
        <v>233367</v>
      </c>
      <c r="O12" s="218">
        <f t="shared" si="1"/>
        <v>100</v>
      </c>
      <c r="P12" s="217">
        <v>87616</v>
      </c>
      <c r="Q12" s="218">
        <f t="shared" si="2"/>
        <v>58.256093831034981</v>
      </c>
      <c r="R12" s="217">
        <v>27832</v>
      </c>
      <c r="S12" s="218">
        <f t="shared" si="3"/>
        <v>18.505565233580235</v>
      </c>
      <c r="T12" s="217">
        <v>34950</v>
      </c>
      <c r="U12" s="218">
        <f t="shared" si="4"/>
        <v>23.23834093538478</v>
      </c>
      <c r="V12" s="218">
        <f t="shared" si="5"/>
        <v>150398</v>
      </c>
      <c r="W12" s="222">
        <f t="shared" si="5"/>
        <v>100</v>
      </c>
      <c r="X12" s="217">
        <v>74</v>
      </c>
      <c r="Y12" s="217">
        <v>52</v>
      </c>
      <c r="Z12" s="218">
        <f t="shared" si="6"/>
        <v>126</v>
      </c>
      <c r="AA12" s="217">
        <v>1184</v>
      </c>
      <c r="AB12" s="218"/>
      <c r="AC12" s="219">
        <f>118+62+249</f>
        <v>429</v>
      </c>
      <c r="AD12" s="218">
        <v>10781</v>
      </c>
      <c r="AE12" s="219">
        <f t="shared" si="7"/>
        <v>19.762070608937936</v>
      </c>
      <c r="AF12" s="217">
        <v>6918</v>
      </c>
      <c r="AG12" s="220">
        <v>156</v>
      </c>
      <c r="AH12" s="218">
        <f t="shared" si="8"/>
        <v>1079208</v>
      </c>
      <c r="AI12" s="218">
        <f t="shared" si="9"/>
        <v>845841</v>
      </c>
      <c r="AJ12" s="219">
        <f t="shared" si="10"/>
        <v>928810</v>
      </c>
      <c r="AK12" s="218">
        <f t="shared" si="11"/>
        <v>8066.8730158730159</v>
      </c>
      <c r="AL12" s="221">
        <f t="shared" si="12"/>
        <v>7.1756805276665911</v>
      </c>
      <c r="AM12" s="319">
        <v>33.74</v>
      </c>
      <c r="AN12" s="221">
        <f t="shared" si="14"/>
        <v>21.740098294304712</v>
      </c>
      <c r="AO12" s="218">
        <f t="shared" si="15"/>
        <v>1495.9423076923076</v>
      </c>
      <c r="AP12" s="218">
        <f t="shared" si="16"/>
        <v>964.08974358974353</v>
      </c>
      <c r="AQ12" s="222">
        <v>1.1000000000000001</v>
      </c>
      <c r="AR12" s="222">
        <v>1.3</v>
      </c>
      <c r="AS12" s="318"/>
      <c r="AT12" s="213"/>
      <c r="AU12" s="213"/>
      <c r="AV12" s="213"/>
      <c r="AW12" s="213"/>
      <c r="AX12" s="213"/>
      <c r="AY12" s="213"/>
      <c r="AZ12" s="213"/>
      <c r="BA12" s="213"/>
      <c r="BB12" s="213"/>
      <c r="BC12" s="213"/>
      <c r="BD12" s="213"/>
      <c r="BE12" s="213"/>
      <c r="BF12" s="213"/>
      <c r="BG12" s="213"/>
      <c r="BH12" s="213"/>
    </row>
    <row r="13" spans="1:60">
      <c r="A13" s="215">
        <v>4</v>
      </c>
      <c r="B13" s="215" t="s">
        <v>299</v>
      </c>
      <c r="C13" s="215" t="s">
        <v>139</v>
      </c>
      <c r="D13" s="215" t="s">
        <v>294</v>
      </c>
      <c r="E13" s="317">
        <v>260709</v>
      </c>
      <c r="F13" s="317">
        <v>129109</v>
      </c>
      <c r="G13" s="218">
        <f t="shared" si="0"/>
        <v>49.522264287001981</v>
      </c>
      <c r="H13" s="217">
        <v>192331</v>
      </c>
      <c r="I13" s="218">
        <f t="shared" si="17"/>
        <v>73.772290177937847</v>
      </c>
      <c r="J13" s="217">
        <v>23310</v>
      </c>
      <c r="K13" s="218">
        <f t="shared" si="18"/>
        <v>8.9410031874618827</v>
      </c>
      <c r="L13" s="217">
        <v>45068</v>
      </c>
      <c r="M13" s="218">
        <f t="shared" si="19"/>
        <v>17.286706634600264</v>
      </c>
      <c r="N13" s="218">
        <f t="shared" si="1"/>
        <v>260709</v>
      </c>
      <c r="O13" s="218">
        <f t="shared" si="1"/>
        <v>100</v>
      </c>
      <c r="P13" s="217">
        <v>61250</v>
      </c>
      <c r="Q13" s="218">
        <f t="shared" si="2"/>
        <v>47.440534741962217</v>
      </c>
      <c r="R13" s="217">
        <v>22791</v>
      </c>
      <c r="S13" s="218">
        <f t="shared" si="3"/>
        <v>17.652526160066301</v>
      </c>
      <c r="T13" s="217">
        <v>45068</v>
      </c>
      <c r="U13" s="218">
        <f t="shared" si="4"/>
        <v>34.906939097971481</v>
      </c>
      <c r="V13" s="218">
        <f t="shared" si="5"/>
        <v>129109</v>
      </c>
      <c r="W13" s="222">
        <f t="shared" si="5"/>
        <v>100</v>
      </c>
      <c r="X13" s="217">
        <v>50</v>
      </c>
      <c r="Y13" s="217">
        <v>107</v>
      </c>
      <c r="Z13" s="218">
        <f t="shared" si="6"/>
        <v>157</v>
      </c>
      <c r="AA13" s="217">
        <v>1225</v>
      </c>
      <c r="AB13" s="218"/>
      <c r="AC13" s="219">
        <f>91+106+192</f>
        <v>389</v>
      </c>
      <c r="AD13" s="218">
        <v>9119</v>
      </c>
      <c r="AE13" s="219">
        <f t="shared" si="7"/>
        <v>20.2338688204491</v>
      </c>
      <c r="AF13" s="217">
        <v>5204</v>
      </c>
      <c r="AG13" s="220">
        <v>201</v>
      </c>
      <c r="AH13" s="218">
        <f t="shared" si="8"/>
        <v>1046004</v>
      </c>
      <c r="AI13" s="218">
        <f t="shared" si="9"/>
        <v>785295</v>
      </c>
      <c r="AJ13" s="219">
        <f t="shared" si="10"/>
        <v>916895</v>
      </c>
      <c r="AK13" s="218">
        <f t="shared" si="11"/>
        <v>6230.2229299363062</v>
      </c>
      <c r="AL13" s="221">
        <f t="shared" si="12"/>
        <v>8.1017125064867663</v>
      </c>
      <c r="AM13" s="221">
        <f t="shared" si="13"/>
        <v>50.097809377402001</v>
      </c>
      <c r="AN13" s="221">
        <f t="shared" si="14"/>
        <v>24.809569561875481</v>
      </c>
      <c r="AO13" s="218">
        <f t="shared" si="15"/>
        <v>1297.0597014925372</v>
      </c>
      <c r="AP13" s="218">
        <f t="shared" si="16"/>
        <v>642.33333333333337</v>
      </c>
      <c r="AQ13" s="222">
        <v>0.4</v>
      </c>
      <c r="AR13" s="222">
        <v>0.5</v>
      </c>
      <c r="AS13" s="318"/>
      <c r="AT13" s="213"/>
      <c r="AU13" s="213"/>
      <c r="AV13" s="213"/>
      <c r="AW13" s="213"/>
      <c r="AX13" s="213"/>
      <c r="AY13" s="213"/>
      <c r="AZ13" s="213"/>
      <c r="BA13" s="213"/>
      <c r="BB13" s="213"/>
      <c r="BC13" s="213"/>
      <c r="BD13" s="213"/>
      <c r="BE13" s="213"/>
      <c r="BF13" s="213"/>
      <c r="BG13" s="213"/>
      <c r="BH13" s="213"/>
    </row>
    <row r="14" spans="1:60">
      <c r="A14" s="215">
        <v>5</v>
      </c>
      <c r="B14" s="215" t="s">
        <v>300</v>
      </c>
      <c r="C14" s="215" t="s">
        <v>301</v>
      </c>
      <c r="D14" s="215" t="s">
        <v>294</v>
      </c>
      <c r="E14" s="317">
        <v>267886</v>
      </c>
      <c r="F14" s="317">
        <v>243874</v>
      </c>
      <c r="G14" s="218">
        <f t="shared" si="0"/>
        <v>91.036485669277241</v>
      </c>
      <c r="H14" s="217">
        <v>96093</v>
      </c>
      <c r="I14" s="218">
        <f t="shared" si="17"/>
        <v>35.870855513166049</v>
      </c>
      <c r="J14" s="217">
        <v>14909</v>
      </c>
      <c r="K14" s="320">
        <v>5</v>
      </c>
      <c r="L14" s="217">
        <v>156884</v>
      </c>
      <c r="M14" s="218">
        <f t="shared" si="19"/>
        <v>58.56371740217854</v>
      </c>
      <c r="N14" s="218">
        <f t="shared" si="1"/>
        <v>267886</v>
      </c>
      <c r="O14" s="320">
        <v>100</v>
      </c>
      <c r="P14" s="217">
        <v>73440</v>
      </c>
      <c r="Q14" s="218">
        <f t="shared" si="2"/>
        <v>30.11391128205549</v>
      </c>
      <c r="R14" s="217">
        <v>13550</v>
      </c>
      <c r="S14" s="218">
        <f t="shared" si="3"/>
        <v>5.5561478468389414</v>
      </c>
      <c r="T14" s="217">
        <v>156884</v>
      </c>
      <c r="U14" s="218">
        <f t="shared" si="4"/>
        <v>64.329940871105578</v>
      </c>
      <c r="V14" s="218">
        <f t="shared" si="5"/>
        <v>243874</v>
      </c>
      <c r="W14" s="222">
        <f t="shared" si="5"/>
        <v>100</v>
      </c>
      <c r="X14" s="217">
        <v>68</v>
      </c>
      <c r="Y14" s="217">
        <v>21</v>
      </c>
      <c r="Z14" s="218">
        <f t="shared" si="6"/>
        <v>89</v>
      </c>
      <c r="AA14" s="217">
        <v>1080</v>
      </c>
      <c r="AB14" s="218">
        <v>3791</v>
      </c>
      <c r="AC14" s="219">
        <f>74+40+107+80</f>
        <v>301</v>
      </c>
      <c r="AD14" s="218">
        <v>26105</v>
      </c>
      <c r="AE14" s="219">
        <f t="shared" si="7"/>
        <v>16.639682822977488</v>
      </c>
      <c r="AF14" s="217">
        <v>4697</v>
      </c>
      <c r="AG14" s="220">
        <v>98</v>
      </c>
      <c r="AH14" s="218">
        <f t="shared" si="8"/>
        <v>460306</v>
      </c>
      <c r="AI14" s="218">
        <f t="shared" si="9"/>
        <v>192420</v>
      </c>
      <c r="AJ14" s="219">
        <f t="shared" si="10"/>
        <v>216432</v>
      </c>
      <c r="AK14" s="218">
        <f t="shared" si="11"/>
        <v>3256.9887640449438</v>
      </c>
      <c r="AL14" s="221">
        <f t="shared" si="12"/>
        <v>1.8874746795476351</v>
      </c>
      <c r="AM14" s="221">
        <f t="shared" si="13"/>
        <v>57.033425590802644</v>
      </c>
      <c r="AN14" s="221">
        <f t="shared" si="14"/>
        <v>51.921226314668935</v>
      </c>
      <c r="AO14" s="218">
        <f t="shared" si="15"/>
        <v>2733.5306122448978</v>
      </c>
      <c r="AP14" s="218">
        <f t="shared" si="16"/>
        <v>2488.5102040816328</v>
      </c>
      <c r="AQ14" s="222">
        <v>1.9</v>
      </c>
      <c r="AR14" s="222">
        <v>1</v>
      </c>
      <c r="AS14" s="318"/>
      <c r="AT14" s="213"/>
      <c r="AU14" s="213"/>
      <c r="AV14" s="213"/>
      <c r="AW14" s="213"/>
      <c r="AX14" s="213"/>
      <c r="AY14" s="213"/>
      <c r="AZ14" s="213"/>
      <c r="BA14" s="213"/>
      <c r="BB14" s="213"/>
      <c r="BC14" s="213"/>
      <c r="BD14" s="213"/>
      <c r="BE14" s="213"/>
      <c r="BF14" s="213"/>
      <c r="BG14" s="213"/>
      <c r="BH14" s="213"/>
    </row>
    <row r="15" spans="1:60">
      <c r="A15" s="215">
        <v>6</v>
      </c>
      <c r="B15" s="215" t="s">
        <v>300</v>
      </c>
      <c r="C15" s="215" t="s">
        <v>209</v>
      </c>
      <c r="D15" s="215" t="s">
        <v>294</v>
      </c>
      <c r="E15" s="317">
        <v>299340</v>
      </c>
      <c r="F15" s="317">
        <v>257736</v>
      </c>
      <c r="G15" s="218">
        <f>+(F15/E15)*100</f>
        <v>86.101423130887952</v>
      </c>
      <c r="H15" s="217">
        <v>101877</v>
      </c>
      <c r="I15" s="218">
        <f t="shared" si="17"/>
        <v>34.033874523952697</v>
      </c>
      <c r="J15" s="217">
        <v>21498</v>
      </c>
      <c r="K15" s="218">
        <f t="shared" si="18"/>
        <v>7.181799959911805</v>
      </c>
      <c r="L15" s="217">
        <v>175965</v>
      </c>
      <c r="M15" s="218">
        <f t="shared" si="19"/>
        <v>58.784325516135496</v>
      </c>
      <c r="N15" s="218">
        <f>H15+J15+L15</f>
        <v>299340</v>
      </c>
      <c r="O15" s="218">
        <f t="shared" si="1"/>
        <v>100</v>
      </c>
      <c r="P15" s="217">
        <v>61830</v>
      </c>
      <c r="Q15" s="218">
        <f t="shared" si="2"/>
        <v>23.989663842070957</v>
      </c>
      <c r="R15" s="217">
        <v>19941</v>
      </c>
      <c r="S15" s="218">
        <f t="shared" si="3"/>
        <v>7.7369866840487935</v>
      </c>
      <c r="T15" s="217">
        <v>175965</v>
      </c>
      <c r="U15" s="218">
        <f t="shared" si="4"/>
        <v>68.273349473880245</v>
      </c>
      <c r="V15" s="218">
        <f>+T15+R15+P15</f>
        <v>257736</v>
      </c>
      <c r="W15" s="222">
        <f>+U15+S15+Q15</f>
        <v>99.999999999999986</v>
      </c>
      <c r="X15" s="217">
        <v>54</v>
      </c>
      <c r="Y15" s="217">
        <v>35</v>
      </c>
      <c r="Z15" s="218">
        <f>+Y15+X15</f>
        <v>89</v>
      </c>
      <c r="AA15" s="217">
        <v>1145</v>
      </c>
      <c r="AB15" s="218" t="s">
        <v>302</v>
      </c>
      <c r="AC15" s="219">
        <f>61+62+56</f>
        <v>179</v>
      </c>
      <c r="AD15" s="218">
        <v>21860</v>
      </c>
      <c r="AE15" s="219">
        <f>+(AD15/L15)*100</f>
        <v>12.422925013497002</v>
      </c>
      <c r="AF15" s="217">
        <v>5258</v>
      </c>
      <c r="AG15" s="220">
        <v>135</v>
      </c>
      <c r="AH15" s="218">
        <f>+AF15*AG15</f>
        <v>709830</v>
      </c>
      <c r="AI15" s="218">
        <f>+AH15-E15</f>
        <v>410490</v>
      </c>
      <c r="AJ15" s="219">
        <f>+(AH15-F15)</f>
        <v>452094</v>
      </c>
      <c r="AK15" s="218">
        <f>+(AJ15+P15)/Z15</f>
        <v>5774.4269662921351</v>
      </c>
      <c r="AL15" s="221">
        <f>+(AH15/F15)</f>
        <v>2.7540972157556571</v>
      </c>
      <c r="AM15" s="221">
        <f>+E15/AF15</f>
        <v>56.930391783948266</v>
      </c>
      <c r="AN15" s="221">
        <f>+F15/AF15</f>
        <v>49.017877519969574</v>
      </c>
      <c r="AO15" s="218">
        <f>+(E15/AG15)</f>
        <v>2217.3333333333335</v>
      </c>
      <c r="AP15" s="218">
        <f>+(F15/AG15)</f>
        <v>1909.1555555555556</v>
      </c>
      <c r="AQ15" s="222">
        <v>1.6</v>
      </c>
      <c r="AR15" s="222">
        <v>1</v>
      </c>
      <c r="AS15" s="318"/>
      <c r="AT15" s="213"/>
      <c r="AU15" s="213"/>
      <c r="AV15" s="213"/>
      <c r="AW15" s="213"/>
      <c r="AX15" s="213"/>
      <c r="AY15" s="213"/>
      <c r="AZ15" s="213"/>
      <c r="BA15" s="213"/>
      <c r="BB15" s="213"/>
      <c r="BC15" s="213"/>
      <c r="BD15" s="213"/>
      <c r="BE15" s="213"/>
      <c r="BF15" s="213"/>
      <c r="BG15" s="213"/>
      <c r="BH15" s="213"/>
    </row>
    <row r="16" spans="1:60">
      <c r="A16" s="215">
        <v>7</v>
      </c>
      <c r="B16" s="215" t="s">
        <v>303</v>
      </c>
      <c r="C16" s="215" t="s">
        <v>139</v>
      </c>
      <c r="D16" s="215" t="s">
        <v>297</v>
      </c>
      <c r="E16" s="317">
        <v>20904</v>
      </c>
      <c r="F16" s="317">
        <v>11514</v>
      </c>
      <c r="G16" s="218">
        <f t="shared" si="0"/>
        <v>55.080367393800231</v>
      </c>
      <c r="H16" s="217">
        <v>13847</v>
      </c>
      <c r="I16" s="320">
        <v>67</v>
      </c>
      <c r="J16" s="217">
        <v>5538</v>
      </c>
      <c r="K16" s="218">
        <f t="shared" si="18"/>
        <v>26.492537313432834</v>
      </c>
      <c r="L16" s="217">
        <v>1519</v>
      </c>
      <c r="M16" s="218">
        <f t="shared" si="19"/>
        <v>7.2665518561040949</v>
      </c>
      <c r="N16" s="218">
        <f t="shared" si="1"/>
        <v>20904</v>
      </c>
      <c r="O16" s="320">
        <v>100</v>
      </c>
      <c r="P16" s="217">
        <v>6295</v>
      </c>
      <c r="Q16" s="320">
        <v>54</v>
      </c>
      <c r="R16" s="217">
        <v>4344</v>
      </c>
      <c r="S16" s="218">
        <v>38</v>
      </c>
      <c r="T16" s="217">
        <v>875</v>
      </c>
      <c r="U16" s="218">
        <v>8</v>
      </c>
      <c r="V16" s="218">
        <f t="shared" si="5"/>
        <v>11514</v>
      </c>
      <c r="W16" s="321">
        <v>100</v>
      </c>
      <c r="X16" s="217">
        <v>5</v>
      </c>
      <c r="Y16" s="217">
        <v>6</v>
      </c>
      <c r="Z16" s="218">
        <f t="shared" si="6"/>
        <v>11</v>
      </c>
      <c r="AA16" s="217">
        <v>1259</v>
      </c>
      <c r="AB16" s="218"/>
      <c r="AC16" s="219"/>
      <c r="AD16" s="218"/>
      <c r="AE16" s="219">
        <f t="shared" si="7"/>
        <v>0</v>
      </c>
      <c r="AF16" s="217">
        <v>221</v>
      </c>
      <c r="AG16" s="220">
        <v>204</v>
      </c>
      <c r="AH16" s="218">
        <f t="shared" si="8"/>
        <v>45084</v>
      </c>
      <c r="AI16" s="218">
        <f t="shared" si="9"/>
        <v>24180</v>
      </c>
      <c r="AJ16" s="219">
        <f t="shared" si="10"/>
        <v>33570</v>
      </c>
      <c r="AK16" s="218">
        <f t="shared" si="11"/>
        <v>3624.090909090909</v>
      </c>
      <c r="AL16" s="221">
        <f t="shared" si="12"/>
        <v>3.9155810317873891</v>
      </c>
      <c r="AM16" s="221">
        <f t="shared" si="13"/>
        <v>94.588235294117652</v>
      </c>
      <c r="AN16" s="221">
        <f t="shared" si="14"/>
        <v>52.099547511312217</v>
      </c>
      <c r="AO16" s="218">
        <f t="shared" si="15"/>
        <v>102.47058823529412</v>
      </c>
      <c r="AP16" s="218">
        <f t="shared" si="16"/>
        <v>56.441176470588232</v>
      </c>
      <c r="AQ16" s="222">
        <v>2.8</v>
      </c>
      <c r="AR16" s="222">
        <v>3</v>
      </c>
      <c r="AS16" s="314"/>
      <c r="AT16" s="213"/>
      <c r="AU16" s="213"/>
      <c r="AV16" s="213"/>
      <c r="AW16" s="213"/>
      <c r="AX16" s="213"/>
      <c r="AY16" s="213"/>
      <c r="AZ16" s="213"/>
      <c r="BA16" s="213"/>
      <c r="BB16" s="213"/>
      <c r="BC16" s="213"/>
      <c r="BD16" s="213"/>
      <c r="BE16" s="213"/>
      <c r="BF16" s="213"/>
      <c r="BG16" s="213"/>
      <c r="BH16" s="213"/>
    </row>
    <row r="17" spans="1:60">
      <c r="A17" s="215">
        <v>8</v>
      </c>
      <c r="B17" s="215" t="s">
        <v>304</v>
      </c>
      <c r="C17" s="215" t="s">
        <v>305</v>
      </c>
      <c r="D17" s="215" t="s">
        <v>294</v>
      </c>
      <c r="E17" s="317">
        <v>69225</v>
      </c>
      <c r="F17" s="317">
        <v>50622</v>
      </c>
      <c r="G17" s="218">
        <f t="shared" si="0"/>
        <v>73.126760563380273</v>
      </c>
      <c r="H17" s="217">
        <v>45983</v>
      </c>
      <c r="I17" s="218">
        <f t="shared" si="17"/>
        <v>66.425424340917289</v>
      </c>
      <c r="J17" s="217">
        <v>13724</v>
      </c>
      <c r="K17" s="218">
        <f t="shared" si="18"/>
        <v>19.825207656193573</v>
      </c>
      <c r="L17" s="217">
        <v>9518</v>
      </c>
      <c r="M17" s="218">
        <f t="shared" si="19"/>
        <v>13.749368002889128</v>
      </c>
      <c r="N17" s="218">
        <f t="shared" si="1"/>
        <v>69225</v>
      </c>
      <c r="O17" s="218">
        <f t="shared" si="1"/>
        <v>99.999999999999986</v>
      </c>
      <c r="P17" s="217">
        <v>27600</v>
      </c>
      <c r="Q17" s="218">
        <f t="shared" si="2"/>
        <v>54.521749437003677</v>
      </c>
      <c r="R17" s="217">
        <v>13504</v>
      </c>
      <c r="S17" s="320">
        <v>26</v>
      </c>
      <c r="T17" s="217">
        <v>9518</v>
      </c>
      <c r="U17" s="218">
        <f t="shared" si="4"/>
        <v>18.80210185294931</v>
      </c>
      <c r="V17" s="218">
        <f t="shared" si="5"/>
        <v>50622</v>
      </c>
      <c r="W17" s="321">
        <v>100</v>
      </c>
      <c r="X17" s="217">
        <v>24</v>
      </c>
      <c r="Y17" s="217">
        <v>16</v>
      </c>
      <c r="Z17" s="218">
        <f t="shared" si="6"/>
        <v>40</v>
      </c>
      <c r="AA17" s="217">
        <v>1150</v>
      </c>
      <c r="AB17" s="221"/>
      <c r="AC17" s="219">
        <f>38+28</f>
        <v>66</v>
      </c>
      <c r="AD17" s="218">
        <v>1622</v>
      </c>
      <c r="AE17" s="219">
        <f t="shared" si="7"/>
        <v>17.041395251103172</v>
      </c>
      <c r="AF17" s="217">
        <v>1121</v>
      </c>
      <c r="AG17" s="220">
        <v>141</v>
      </c>
      <c r="AH17" s="218">
        <f t="shared" si="8"/>
        <v>158061</v>
      </c>
      <c r="AI17" s="218">
        <f t="shared" si="9"/>
        <v>88836</v>
      </c>
      <c r="AJ17" s="219">
        <f t="shared" si="10"/>
        <v>107439</v>
      </c>
      <c r="AK17" s="218">
        <f t="shared" si="11"/>
        <v>3375.9749999999999</v>
      </c>
      <c r="AL17" s="221">
        <f t="shared" si="12"/>
        <v>3.1223776223776225</v>
      </c>
      <c r="AM17" s="221">
        <f t="shared" si="13"/>
        <v>61.752899197145403</v>
      </c>
      <c r="AN17" s="221">
        <f t="shared" si="14"/>
        <v>45.157894736842103</v>
      </c>
      <c r="AO17" s="218">
        <f t="shared" si="15"/>
        <v>490.95744680851061</v>
      </c>
      <c r="AP17" s="218">
        <f t="shared" si="16"/>
        <v>359.02127659574467</v>
      </c>
      <c r="AQ17" s="222">
        <v>1.7</v>
      </c>
      <c r="AR17" s="222">
        <v>1</v>
      </c>
      <c r="AS17" s="314"/>
      <c r="AT17" s="213"/>
      <c r="AU17" s="213"/>
      <c r="AV17" s="213"/>
      <c r="AW17" s="213"/>
      <c r="AX17" s="213"/>
      <c r="AY17" s="213"/>
      <c r="AZ17" s="213"/>
      <c r="BA17" s="213"/>
      <c r="BB17" s="213"/>
      <c r="BC17" s="213"/>
      <c r="BD17" s="213"/>
      <c r="BE17" s="213"/>
      <c r="BF17" s="213"/>
      <c r="BG17" s="213"/>
      <c r="BH17" s="213"/>
    </row>
    <row r="18" spans="1:60">
      <c r="A18" s="215">
        <v>9</v>
      </c>
      <c r="B18" s="215" t="s">
        <v>306</v>
      </c>
      <c r="C18" s="215" t="s">
        <v>171</v>
      </c>
      <c r="D18" s="215" t="s">
        <v>297</v>
      </c>
      <c r="E18" s="322">
        <v>51920</v>
      </c>
      <c r="F18" s="322">
        <v>37413</v>
      </c>
      <c r="G18" s="219">
        <f t="shared" si="0"/>
        <v>72.058936825885979</v>
      </c>
      <c r="H18" s="223">
        <v>32948</v>
      </c>
      <c r="I18" s="218">
        <f t="shared" si="17"/>
        <v>63.45916795069337</v>
      </c>
      <c r="J18" s="223">
        <v>8070</v>
      </c>
      <c r="K18" s="218">
        <f t="shared" si="18"/>
        <v>15.543143297380585</v>
      </c>
      <c r="L18" s="223">
        <v>10902</v>
      </c>
      <c r="M18" s="218">
        <f t="shared" si="19"/>
        <v>20.997688751926042</v>
      </c>
      <c r="N18" s="219">
        <f t="shared" si="1"/>
        <v>51920</v>
      </c>
      <c r="O18" s="218">
        <f t="shared" si="1"/>
        <v>100</v>
      </c>
      <c r="P18" s="223">
        <v>18629</v>
      </c>
      <c r="Q18" s="218">
        <f t="shared" si="2"/>
        <v>49.792852751717319</v>
      </c>
      <c r="R18" s="223">
        <v>7882</v>
      </c>
      <c r="S18" s="218">
        <f t="shared" si="3"/>
        <v>21.067543367278756</v>
      </c>
      <c r="T18" s="223">
        <v>10902</v>
      </c>
      <c r="U18" s="218">
        <f t="shared" si="4"/>
        <v>29.139603881003929</v>
      </c>
      <c r="V18" s="219">
        <f t="shared" si="5"/>
        <v>37413</v>
      </c>
      <c r="W18" s="226">
        <f t="shared" si="5"/>
        <v>100</v>
      </c>
      <c r="X18" s="223">
        <v>13</v>
      </c>
      <c r="Y18" s="223">
        <v>10</v>
      </c>
      <c r="Z18" s="219">
        <f t="shared" si="6"/>
        <v>23</v>
      </c>
      <c r="AA18" s="223">
        <v>1433</v>
      </c>
      <c r="AB18" s="219"/>
      <c r="AC18" s="219">
        <v>474</v>
      </c>
      <c r="AD18" s="219">
        <v>10902</v>
      </c>
      <c r="AE18" s="219">
        <f t="shared" si="7"/>
        <v>100</v>
      </c>
      <c r="AF18" s="223">
        <v>5072</v>
      </c>
      <c r="AG18" s="224">
        <v>51</v>
      </c>
      <c r="AH18" s="219">
        <f t="shared" si="8"/>
        <v>258672</v>
      </c>
      <c r="AI18" s="219">
        <f t="shared" si="9"/>
        <v>206752</v>
      </c>
      <c r="AJ18" s="219">
        <f t="shared" si="10"/>
        <v>221259</v>
      </c>
      <c r="AK18" s="219">
        <f t="shared" si="11"/>
        <v>10429.91304347826</v>
      </c>
      <c r="AL18" s="225">
        <f t="shared" si="12"/>
        <v>6.913960388100393</v>
      </c>
      <c r="AM18" s="225">
        <f t="shared" si="13"/>
        <v>10.236593059936908</v>
      </c>
      <c r="AN18" s="225">
        <f t="shared" si="14"/>
        <v>7.3763801261829656</v>
      </c>
      <c r="AO18" s="219">
        <f t="shared" si="15"/>
        <v>1018.0392156862745</v>
      </c>
      <c r="AP18" s="219">
        <f t="shared" si="16"/>
        <v>733.58823529411768</v>
      </c>
      <c r="AQ18" s="226">
        <v>1.7</v>
      </c>
      <c r="AR18" s="226">
        <v>1</v>
      </c>
      <c r="AS18" s="188"/>
      <c r="AT18" s="323"/>
      <c r="AU18" s="323"/>
      <c r="AV18" s="323"/>
      <c r="AW18" s="323"/>
      <c r="AX18" s="323"/>
      <c r="AY18" s="323"/>
      <c r="AZ18" s="323"/>
      <c r="BA18" s="323"/>
      <c r="BB18" s="323"/>
      <c r="BC18" s="323"/>
      <c r="BD18" s="323"/>
      <c r="BE18" s="323"/>
      <c r="BF18" s="323"/>
      <c r="BG18" s="323"/>
      <c r="BH18" s="323"/>
    </row>
    <row r="19" spans="1:60">
      <c r="A19" s="215">
        <v>10</v>
      </c>
      <c r="B19" s="215" t="s">
        <v>307</v>
      </c>
      <c r="C19" s="215" t="s">
        <v>152</v>
      </c>
      <c r="D19" s="215" t="s">
        <v>294</v>
      </c>
      <c r="E19" s="317">
        <v>343454</v>
      </c>
      <c r="F19" s="317">
        <v>222968</v>
      </c>
      <c r="G19" s="218">
        <f t="shared" si="0"/>
        <v>64.91931961776541</v>
      </c>
      <c r="H19" s="217">
        <v>141367</v>
      </c>
      <c r="I19" s="218">
        <f t="shared" si="17"/>
        <v>41.160388290717243</v>
      </c>
      <c r="J19" s="217">
        <v>16453</v>
      </c>
      <c r="K19" s="218">
        <f t="shared" si="18"/>
        <v>4.7904522876425961</v>
      </c>
      <c r="L19" s="217">
        <v>185634</v>
      </c>
      <c r="M19" s="218">
        <f t="shared" si="19"/>
        <v>54.049159421640155</v>
      </c>
      <c r="N19" s="218">
        <f t="shared" si="1"/>
        <v>343454</v>
      </c>
      <c r="O19" s="218">
        <f t="shared" si="1"/>
        <v>100</v>
      </c>
      <c r="P19" s="217">
        <v>74613</v>
      </c>
      <c r="Q19" s="218">
        <f t="shared" si="2"/>
        <v>33.46354633848803</v>
      </c>
      <c r="R19" s="217">
        <v>12411</v>
      </c>
      <c r="S19" s="218">
        <f t="shared" si="3"/>
        <v>5.5662695992250013</v>
      </c>
      <c r="T19" s="217">
        <v>135944</v>
      </c>
      <c r="U19" s="218">
        <f t="shared" si="4"/>
        <v>60.970184062286968</v>
      </c>
      <c r="V19" s="218">
        <f t="shared" si="5"/>
        <v>222968</v>
      </c>
      <c r="W19" s="222">
        <f t="shared" si="5"/>
        <v>100</v>
      </c>
      <c r="X19" s="217">
        <v>57</v>
      </c>
      <c r="Y19" s="217">
        <v>51</v>
      </c>
      <c r="Z19" s="218">
        <f t="shared" si="6"/>
        <v>108</v>
      </c>
      <c r="AA19" s="217">
        <v>1309</v>
      </c>
      <c r="AB19" s="218">
        <v>718</v>
      </c>
      <c r="AC19" s="219">
        <v>644</v>
      </c>
      <c r="AD19" s="218">
        <v>19690</v>
      </c>
      <c r="AE19" s="219">
        <f t="shared" si="7"/>
        <v>10.60689313380092</v>
      </c>
      <c r="AF19" s="217">
        <v>6262</v>
      </c>
      <c r="AG19" s="220">
        <v>101</v>
      </c>
      <c r="AH19" s="218">
        <f t="shared" si="8"/>
        <v>632462</v>
      </c>
      <c r="AI19" s="218">
        <f t="shared" si="9"/>
        <v>289008</v>
      </c>
      <c r="AJ19" s="219">
        <f t="shared" si="10"/>
        <v>409494</v>
      </c>
      <c r="AK19" s="218">
        <f t="shared" si="11"/>
        <v>4482.4722222222226</v>
      </c>
      <c r="AL19" s="221">
        <f t="shared" si="12"/>
        <v>2.8365595062968678</v>
      </c>
      <c r="AM19" s="221">
        <f t="shared" si="13"/>
        <v>54.847333120408813</v>
      </c>
      <c r="AN19" s="221">
        <f t="shared" si="14"/>
        <v>35.606515490258701</v>
      </c>
      <c r="AO19" s="218">
        <f t="shared" si="15"/>
        <v>3400.5346534653463</v>
      </c>
      <c r="AP19" s="218">
        <f t="shared" si="16"/>
        <v>2207.6039603960394</v>
      </c>
      <c r="AQ19" s="222">
        <v>0.5</v>
      </c>
      <c r="AR19" s="222">
        <v>0.5</v>
      </c>
      <c r="AS19" s="314"/>
      <c r="AT19" s="213"/>
      <c r="AU19" s="213"/>
      <c r="AV19" s="213"/>
      <c r="AW19" s="213"/>
      <c r="AX19" s="213"/>
      <c r="AY19" s="213"/>
      <c r="AZ19" s="213"/>
      <c r="BA19" s="213"/>
      <c r="BB19" s="213"/>
      <c r="BC19" s="213"/>
      <c r="BD19" s="213"/>
      <c r="BE19" s="213"/>
      <c r="BF19" s="213"/>
      <c r="BG19" s="213"/>
      <c r="BH19" s="213"/>
    </row>
    <row r="20" spans="1:60">
      <c r="A20" s="215">
        <v>11</v>
      </c>
      <c r="B20" s="215" t="s">
        <v>307</v>
      </c>
      <c r="C20" s="215" t="s">
        <v>308</v>
      </c>
      <c r="D20" s="215" t="s">
        <v>294</v>
      </c>
      <c r="E20" s="317">
        <v>370866</v>
      </c>
      <c r="F20" s="317">
        <v>281310</v>
      </c>
      <c r="G20" s="218">
        <f t="shared" si="0"/>
        <v>75.852194593195392</v>
      </c>
      <c r="H20" s="217">
        <v>152023</v>
      </c>
      <c r="I20" s="218">
        <f t="shared" si="17"/>
        <v>40.991355368246211</v>
      </c>
      <c r="J20" s="217">
        <v>16419</v>
      </c>
      <c r="K20" s="218">
        <f t="shared" si="18"/>
        <v>4.4272055135817254</v>
      </c>
      <c r="L20" s="217">
        <v>202424</v>
      </c>
      <c r="M20" s="218">
        <f t="shared" si="19"/>
        <v>54.581439118172057</v>
      </c>
      <c r="N20" s="218">
        <f t="shared" si="1"/>
        <v>370866</v>
      </c>
      <c r="O20" s="218">
        <f t="shared" si="1"/>
        <v>100</v>
      </c>
      <c r="P20" s="217">
        <v>76038</v>
      </c>
      <c r="Q20" s="218">
        <f t="shared" si="2"/>
        <v>27.029966940386053</v>
      </c>
      <c r="R20" s="217">
        <v>12944</v>
      </c>
      <c r="S20" s="218">
        <f t="shared" si="3"/>
        <v>4.6013294941523588</v>
      </c>
      <c r="T20" s="217">
        <v>192328</v>
      </c>
      <c r="U20" s="218">
        <f t="shared" si="4"/>
        <v>68.368703565461587</v>
      </c>
      <c r="V20" s="218">
        <f t="shared" si="5"/>
        <v>281310</v>
      </c>
      <c r="W20" s="222">
        <f t="shared" si="5"/>
        <v>100</v>
      </c>
      <c r="X20" s="217">
        <v>57</v>
      </c>
      <c r="Y20" s="217">
        <v>57</v>
      </c>
      <c r="Z20" s="218">
        <f t="shared" si="6"/>
        <v>114</v>
      </c>
      <c r="AA20" s="217">
        <v>1334</v>
      </c>
      <c r="AB20" s="218">
        <v>1410</v>
      </c>
      <c r="AC20" s="219">
        <v>504</v>
      </c>
      <c r="AD20" s="218">
        <v>21564</v>
      </c>
      <c r="AE20" s="219">
        <f t="shared" si="7"/>
        <v>10.65288700944552</v>
      </c>
      <c r="AF20" s="217">
        <v>6438</v>
      </c>
      <c r="AG20" s="220">
        <v>115</v>
      </c>
      <c r="AH20" s="218">
        <f t="shared" si="8"/>
        <v>740370</v>
      </c>
      <c r="AI20" s="218">
        <f t="shared" si="9"/>
        <v>369504</v>
      </c>
      <c r="AJ20" s="219">
        <f t="shared" si="10"/>
        <v>459060</v>
      </c>
      <c r="AK20" s="218">
        <f t="shared" si="11"/>
        <v>4693.8421052631575</v>
      </c>
      <c r="AL20" s="221">
        <f t="shared" si="12"/>
        <v>2.6318652020902209</v>
      </c>
      <c r="AM20" s="221">
        <f t="shared" si="13"/>
        <v>57.605778191985088</v>
      </c>
      <c r="AN20" s="221">
        <f t="shared" si="14"/>
        <v>43.695246971109043</v>
      </c>
      <c r="AO20" s="218">
        <f t="shared" si="15"/>
        <v>3224.9217391304346</v>
      </c>
      <c r="AP20" s="218">
        <f t="shared" si="16"/>
        <v>2446.1739130434785</v>
      </c>
      <c r="AQ20" s="222">
        <v>0.5</v>
      </c>
      <c r="AR20" s="222">
        <v>0.5</v>
      </c>
      <c r="AS20" s="314"/>
      <c r="AT20" s="213"/>
      <c r="AU20" s="213"/>
      <c r="AV20" s="213"/>
      <c r="AW20" s="213"/>
      <c r="AX20" s="213"/>
      <c r="AY20" s="213"/>
      <c r="AZ20" s="213"/>
      <c r="BA20" s="213"/>
      <c r="BB20" s="213"/>
      <c r="BC20" s="213"/>
      <c r="BD20" s="213"/>
      <c r="BE20" s="213"/>
      <c r="BF20" s="213"/>
      <c r="BG20" s="213"/>
      <c r="BH20" s="213"/>
    </row>
    <row r="21" spans="1:60">
      <c r="A21" s="215">
        <v>12</v>
      </c>
      <c r="B21" s="215" t="s">
        <v>309</v>
      </c>
      <c r="C21" s="215" t="s">
        <v>2</v>
      </c>
      <c r="D21" s="215" t="s">
        <v>294</v>
      </c>
      <c r="E21" s="317">
        <v>116549</v>
      </c>
      <c r="F21" s="317">
        <v>85182</v>
      </c>
      <c r="G21" s="218">
        <f t="shared" si="0"/>
        <v>73.086856172082122</v>
      </c>
      <c r="H21" s="217">
        <v>94501</v>
      </c>
      <c r="I21" s="218">
        <f t="shared" si="17"/>
        <v>81.082634771641111</v>
      </c>
      <c r="J21" s="218">
        <v>7829</v>
      </c>
      <c r="K21" s="218">
        <f t="shared" si="18"/>
        <v>6.7173463521780539</v>
      </c>
      <c r="L21" s="217">
        <v>14219</v>
      </c>
      <c r="M21" s="218">
        <f t="shared" si="19"/>
        <v>12.200018876180833</v>
      </c>
      <c r="N21" s="218">
        <f t="shared" si="1"/>
        <v>116549</v>
      </c>
      <c r="O21" s="218">
        <f t="shared" si="1"/>
        <v>100</v>
      </c>
      <c r="P21" s="217">
        <v>63393</v>
      </c>
      <c r="Q21" s="218">
        <f t="shared" si="2"/>
        <v>74.420652250475456</v>
      </c>
      <c r="R21" s="216">
        <v>7570</v>
      </c>
      <c r="S21" s="218">
        <f t="shared" si="3"/>
        <v>8.8868540301941739</v>
      </c>
      <c r="T21" s="217">
        <v>14219</v>
      </c>
      <c r="U21" s="218">
        <f t="shared" si="4"/>
        <v>16.692493719330376</v>
      </c>
      <c r="V21" s="218">
        <f t="shared" si="5"/>
        <v>85182</v>
      </c>
      <c r="W21" s="222">
        <f t="shared" si="5"/>
        <v>100</v>
      </c>
      <c r="X21" s="217">
        <v>51</v>
      </c>
      <c r="Y21" s="217">
        <v>25</v>
      </c>
      <c r="Z21" s="218">
        <f t="shared" si="6"/>
        <v>76</v>
      </c>
      <c r="AA21" s="217">
        <v>1243</v>
      </c>
      <c r="AB21" s="225">
        <v>94</v>
      </c>
      <c r="AC21" s="219">
        <v>68</v>
      </c>
      <c r="AD21" s="218">
        <v>4050</v>
      </c>
      <c r="AE21" s="219">
        <f t="shared" si="7"/>
        <v>28.483015683240737</v>
      </c>
      <c r="AF21" s="217">
        <v>7680</v>
      </c>
      <c r="AG21" s="220">
        <v>35</v>
      </c>
      <c r="AH21" s="218">
        <f t="shared" si="8"/>
        <v>268800</v>
      </c>
      <c r="AI21" s="218">
        <f t="shared" si="9"/>
        <v>152251</v>
      </c>
      <c r="AJ21" s="219">
        <f t="shared" si="10"/>
        <v>183618</v>
      </c>
      <c r="AK21" s="218">
        <f t="shared" si="11"/>
        <v>3250.1447368421054</v>
      </c>
      <c r="AL21" s="221">
        <f t="shared" si="12"/>
        <v>3.1555962527294499</v>
      </c>
      <c r="AM21" s="221">
        <f t="shared" si="13"/>
        <v>15.175651041666667</v>
      </c>
      <c r="AN21" s="221">
        <f t="shared" si="14"/>
        <v>11.09140625</v>
      </c>
      <c r="AO21" s="218">
        <f t="shared" si="15"/>
        <v>3329.9714285714285</v>
      </c>
      <c r="AP21" s="218">
        <f t="shared" si="16"/>
        <v>2433.7714285714287</v>
      </c>
      <c r="AQ21" s="222">
        <v>1.4</v>
      </c>
      <c r="AR21" s="222">
        <v>1</v>
      </c>
      <c r="AS21" s="314"/>
      <c r="AT21" s="323"/>
      <c r="AU21" s="323"/>
      <c r="AV21" s="323"/>
      <c r="AW21" s="323"/>
      <c r="AX21" s="323"/>
      <c r="AY21" s="323"/>
      <c r="AZ21" s="323"/>
      <c r="BA21" s="323"/>
      <c r="BB21" s="323"/>
      <c r="BC21" s="323"/>
      <c r="BD21" s="323"/>
      <c r="BE21" s="323"/>
      <c r="BF21" s="323"/>
      <c r="BG21" s="323"/>
      <c r="BH21" s="323"/>
    </row>
    <row r="22" spans="1:60">
      <c r="A22" s="215">
        <v>13</v>
      </c>
      <c r="B22" s="215" t="s">
        <v>310</v>
      </c>
      <c r="C22" s="215" t="s">
        <v>311</v>
      </c>
      <c r="D22" s="215" t="s">
        <v>294</v>
      </c>
      <c r="E22" s="317">
        <v>259731</v>
      </c>
      <c r="F22" s="317">
        <v>159217</v>
      </c>
      <c r="G22" s="218">
        <f t="shared" si="0"/>
        <v>61.300730371037723</v>
      </c>
      <c r="H22" s="217">
        <v>150440</v>
      </c>
      <c r="I22" s="218">
        <f t="shared" si="17"/>
        <v>57.921464900223697</v>
      </c>
      <c r="J22" s="218">
        <v>17725</v>
      </c>
      <c r="K22" s="218">
        <f t="shared" si="18"/>
        <v>6.8243682887294934</v>
      </c>
      <c r="L22" s="217">
        <v>91566</v>
      </c>
      <c r="M22" s="218">
        <f t="shared" si="19"/>
        <v>35.254166811046815</v>
      </c>
      <c r="N22" s="218">
        <f t="shared" si="1"/>
        <v>259731</v>
      </c>
      <c r="O22" s="218">
        <f t="shared" si="1"/>
        <v>100</v>
      </c>
      <c r="P22" s="217">
        <v>51084</v>
      </c>
      <c r="Q22" s="218">
        <f t="shared" si="2"/>
        <v>32.084513588373106</v>
      </c>
      <c r="R22" s="223">
        <v>16567</v>
      </c>
      <c r="S22" s="218">
        <f t="shared" si="3"/>
        <v>10.405295916893296</v>
      </c>
      <c r="T22" s="217">
        <v>91566</v>
      </c>
      <c r="U22" s="218">
        <f t="shared" si="4"/>
        <v>57.510190494733607</v>
      </c>
      <c r="V22" s="218">
        <f t="shared" si="5"/>
        <v>159217</v>
      </c>
      <c r="W22" s="222">
        <f t="shared" si="5"/>
        <v>100</v>
      </c>
      <c r="X22" s="217">
        <v>36</v>
      </c>
      <c r="Y22" s="217">
        <v>70</v>
      </c>
      <c r="Z22" s="218">
        <f t="shared" si="6"/>
        <v>106</v>
      </c>
      <c r="AA22" s="217">
        <v>1419</v>
      </c>
      <c r="AB22" s="221"/>
      <c r="AC22" s="219">
        <f>98+151+85</f>
        <v>334</v>
      </c>
      <c r="AD22" s="218">
        <v>17602</v>
      </c>
      <c r="AE22" s="219">
        <f t="shared" si="7"/>
        <v>19.223292488478254</v>
      </c>
      <c r="AF22" s="217">
        <v>5073</v>
      </c>
      <c r="AG22" s="220">
        <v>145</v>
      </c>
      <c r="AH22" s="218">
        <f t="shared" si="8"/>
        <v>735585</v>
      </c>
      <c r="AI22" s="218">
        <f t="shared" si="9"/>
        <v>475854</v>
      </c>
      <c r="AJ22" s="219">
        <f t="shared" si="10"/>
        <v>576368</v>
      </c>
      <c r="AK22" s="218">
        <f t="shared" si="11"/>
        <v>5919.3584905660373</v>
      </c>
      <c r="AL22" s="221">
        <f t="shared" si="12"/>
        <v>4.6200154506114295</v>
      </c>
      <c r="AM22" s="221">
        <f t="shared" si="13"/>
        <v>51.198698994677706</v>
      </c>
      <c r="AN22" s="221">
        <f t="shared" si="14"/>
        <v>31.385176424206584</v>
      </c>
      <c r="AO22" s="218">
        <f t="shared" si="15"/>
        <v>1791.248275862069</v>
      </c>
      <c r="AP22" s="218">
        <f t="shared" si="16"/>
        <v>1098.048275862069</v>
      </c>
      <c r="AQ22" s="222">
        <v>1.3</v>
      </c>
      <c r="AR22" s="222">
        <v>1.5</v>
      </c>
      <c r="AS22" s="314"/>
      <c r="AT22" s="213"/>
      <c r="AU22" s="213"/>
      <c r="AV22" s="213"/>
      <c r="AW22" s="213"/>
      <c r="AX22" s="213"/>
      <c r="AY22" s="213"/>
      <c r="AZ22" s="213"/>
      <c r="BA22" s="213"/>
      <c r="BB22" s="213"/>
      <c r="BC22" s="213"/>
      <c r="BD22" s="213"/>
      <c r="BE22" s="213"/>
      <c r="BF22" s="213"/>
      <c r="BG22" s="213"/>
      <c r="BH22" s="213"/>
    </row>
    <row r="23" spans="1:60">
      <c r="A23" s="215">
        <v>14</v>
      </c>
      <c r="B23" s="215" t="s">
        <v>312</v>
      </c>
      <c r="C23" s="215" t="s">
        <v>311</v>
      </c>
      <c r="D23" s="215" t="s">
        <v>294</v>
      </c>
      <c r="E23" s="317">
        <v>182753</v>
      </c>
      <c r="F23" s="317">
        <v>108353</v>
      </c>
      <c r="G23" s="218">
        <f t="shared" si="0"/>
        <v>59.28931399210957</v>
      </c>
      <c r="H23" s="217">
        <v>122136</v>
      </c>
      <c r="I23" s="218">
        <f t="shared" si="17"/>
        <v>66.831187449727224</v>
      </c>
      <c r="J23" s="217">
        <v>19921</v>
      </c>
      <c r="K23" s="218">
        <f t="shared" si="18"/>
        <v>10.900505053268619</v>
      </c>
      <c r="L23" s="217">
        <v>40696</v>
      </c>
      <c r="M23" s="218">
        <f t="shared" si="19"/>
        <v>22.268307497004152</v>
      </c>
      <c r="N23" s="218">
        <f t="shared" si="1"/>
        <v>182753</v>
      </c>
      <c r="O23" s="218">
        <f t="shared" si="1"/>
        <v>100</v>
      </c>
      <c r="P23" s="217">
        <v>47736</v>
      </c>
      <c r="Q23" s="218">
        <f t="shared" si="2"/>
        <v>44.056002141149762</v>
      </c>
      <c r="R23" s="217">
        <v>19921</v>
      </c>
      <c r="S23" s="218">
        <f t="shared" si="3"/>
        <v>18.385277749577771</v>
      </c>
      <c r="T23" s="217">
        <v>40696</v>
      </c>
      <c r="U23" s="218">
        <f t="shared" si="4"/>
        <v>37.558720109272471</v>
      </c>
      <c r="V23" s="218">
        <f t="shared" si="5"/>
        <v>108353</v>
      </c>
      <c r="W23" s="222">
        <f t="shared" si="5"/>
        <v>100</v>
      </c>
      <c r="X23" s="217">
        <v>34</v>
      </c>
      <c r="Y23" s="217">
        <v>53</v>
      </c>
      <c r="Z23" s="218">
        <f t="shared" si="6"/>
        <v>87</v>
      </c>
      <c r="AA23" s="217">
        <v>1404</v>
      </c>
      <c r="AB23" s="219"/>
      <c r="AC23" s="219">
        <f>50+159+120</f>
        <v>329</v>
      </c>
      <c r="AD23" s="218">
        <v>8066</v>
      </c>
      <c r="AE23" s="219">
        <f t="shared" si="7"/>
        <v>19.820129742480834</v>
      </c>
      <c r="AF23" s="217">
        <v>8861</v>
      </c>
      <c r="AG23" s="220">
        <v>89</v>
      </c>
      <c r="AH23" s="218">
        <f t="shared" si="8"/>
        <v>788629</v>
      </c>
      <c r="AI23" s="218">
        <f t="shared" si="9"/>
        <v>605876</v>
      </c>
      <c r="AJ23" s="219">
        <f t="shared" si="10"/>
        <v>680276</v>
      </c>
      <c r="AK23" s="218">
        <f t="shared" si="11"/>
        <v>8367.954022988506</v>
      </c>
      <c r="AL23" s="221">
        <f t="shared" si="12"/>
        <v>7.2783310106780617</v>
      </c>
      <c r="AM23" s="221">
        <f t="shared" si="13"/>
        <v>20.624421622841666</v>
      </c>
      <c r="AN23" s="221">
        <f t="shared" si="14"/>
        <v>12.228078095023134</v>
      </c>
      <c r="AO23" s="218">
        <f t="shared" si="15"/>
        <v>2053.4044943820227</v>
      </c>
      <c r="AP23" s="218">
        <f t="shared" si="16"/>
        <v>1217.4494382022472</v>
      </c>
      <c r="AQ23" s="222">
        <v>0.8</v>
      </c>
      <c r="AR23" s="222">
        <v>0.5</v>
      </c>
      <c r="AS23" s="314"/>
      <c r="AT23" s="213"/>
      <c r="AU23" s="213"/>
      <c r="AV23" s="213"/>
      <c r="AW23" s="213"/>
      <c r="AX23" s="213"/>
      <c r="AY23" s="213"/>
      <c r="AZ23" s="213"/>
      <c r="BA23" s="213"/>
      <c r="BB23" s="213"/>
      <c r="BC23" s="213"/>
      <c r="BD23" s="213"/>
      <c r="BE23" s="213"/>
      <c r="BF23" s="213"/>
      <c r="BG23" s="213"/>
      <c r="BH23" s="213"/>
    </row>
    <row r="24" spans="1:60">
      <c r="A24" s="215">
        <v>15</v>
      </c>
      <c r="B24" s="215" t="s">
        <v>313</v>
      </c>
      <c r="C24" s="215" t="s">
        <v>308</v>
      </c>
      <c r="D24" s="215" t="s">
        <v>294</v>
      </c>
      <c r="E24" s="324">
        <v>195541</v>
      </c>
      <c r="F24" s="317">
        <v>137115</v>
      </c>
      <c r="G24" s="218">
        <f t="shared" si="0"/>
        <v>70.120844221927882</v>
      </c>
      <c r="H24" s="217">
        <v>134159</v>
      </c>
      <c r="I24" s="218">
        <f t="shared" si="17"/>
        <v>68.609140794002272</v>
      </c>
      <c r="J24" s="217">
        <v>22002</v>
      </c>
      <c r="K24" s="218">
        <f t="shared" si="18"/>
        <v>11.251860223687105</v>
      </c>
      <c r="L24" s="217">
        <v>39380</v>
      </c>
      <c r="M24" s="218">
        <f t="shared" si="19"/>
        <v>20.138998982310614</v>
      </c>
      <c r="N24" s="218">
        <f t="shared" si="1"/>
        <v>195541</v>
      </c>
      <c r="O24" s="218">
        <f t="shared" si="1"/>
        <v>99.999999999999986</v>
      </c>
      <c r="P24" s="217">
        <v>77448</v>
      </c>
      <c r="Q24" s="218">
        <f t="shared" si="2"/>
        <v>56.483973307077996</v>
      </c>
      <c r="R24" s="217">
        <v>20287</v>
      </c>
      <c r="S24" s="218">
        <f t="shared" si="3"/>
        <v>14.795609524851402</v>
      </c>
      <c r="T24" s="217">
        <v>39380</v>
      </c>
      <c r="U24" s="218">
        <f t="shared" si="4"/>
        <v>28.7204171680706</v>
      </c>
      <c r="V24" s="218">
        <f t="shared" si="5"/>
        <v>137115</v>
      </c>
      <c r="W24" s="222">
        <f t="shared" si="5"/>
        <v>100</v>
      </c>
      <c r="X24" s="217">
        <v>56</v>
      </c>
      <c r="Y24" s="217">
        <v>41</v>
      </c>
      <c r="Z24" s="218">
        <f t="shared" si="6"/>
        <v>97</v>
      </c>
      <c r="AA24" s="217">
        <v>1383</v>
      </c>
      <c r="AB24" s="218"/>
      <c r="AC24" s="219">
        <f>74+377</f>
        <v>451</v>
      </c>
      <c r="AD24" s="218">
        <v>10898</v>
      </c>
      <c r="AE24" s="219">
        <f t="shared" si="7"/>
        <v>27.673946165566278</v>
      </c>
      <c r="AF24" s="217">
        <v>7636</v>
      </c>
      <c r="AG24" s="220">
        <v>64</v>
      </c>
      <c r="AH24" s="218">
        <f t="shared" si="8"/>
        <v>488704</v>
      </c>
      <c r="AI24" s="218">
        <f t="shared" si="9"/>
        <v>293163</v>
      </c>
      <c r="AJ24" s="219">
        <f t="shared" si="10"/>
        <v>351589</v>
      </c>
      <c r="AK24" s="218">
        <f t="shared" si="11"/>
        <v>4423.0618556701029</v>
      </c>
      <c r="AL24" s="221">
        <f t="shared" si="12"/>
        <v>3.564190642891004</v>
      </c>
      <c r="AM24" s="221">
        <f t="shared" si="13"/>
        <v>25.607778941854374</v>
      </c>
      <c r="AN24" s="221">
        <f t="shared" si="14"/>
        <v>17.956390780513356</v>
      </c>
      <c r="AO24" s="218">
        <f t="shared" si="15"/>
        <v>3055.328125</v>
      </c>
      <c r="AP24" s="218">
        <f t="shared" si="16"/>
        <v>2142.421875</v>
      </c>
      <c r="AQ24" s="222">
        <v>0.6</v>
      </c>
      <c r="AR24" s="222">
        <v>0.5</v>
      </c>
      <c r="AS24" s="314"/>
      <c r="AT24" s="213"/>
      <c r="AU24" s="213"/>
      <c r="AV24" s="213"/>
      <c r="AW24" s="213"/>
      <c r="AX24" s="213"/>
      <c r="AY24" s="213"/>
      <c r="AZ24" s="213"/>
      <c r="BA24" s="213"/>
      <c r="BB24" s="213"/>
      <c r="BC24" s="213"/>
      <c r="BD24" s="213"/>
      <c r="BE24" s="213"/>
      <c r="BF24" s="213"/>
      <c r="BG24" s="213"/>
      <c r="BH24" s="213"/>
    </row>
    <row r="25" spans="1:60">
      <c r="A25" s="215">
        <v>16</v>
      </c>
      <c r="B25" s="215" t="s">
        <v>314</v>
      </c>
      <c r="C25" s="215" t="s">
        <v>308</v>
      </c>
      <c r="D25" s="215" t="s">
        <v>294</v>
      </c>
      <c r="E25" s="317">
        <v>212388</v>
      </c>
      <c r="F25" s="317">
        <v>152238</v>
      </c>
      <c r="G25" s="218">
        <f t="shared" si="0"/>
        <v>71.679190914740943</v>
      </c>
      <c r="H25" s="217">
        <v>154191</v>
      </c>
      <c r="I25" s="218">
        <f t="shared" si="17"/>
        <v>72.598734391773547</v>
      </c>
      <c r="J25" s="217">
        <v>9535</v>
      </c>
      <c r="K25" s="218">
        <f t="shared" si="18"/>
        <v>4.4894250145959287</v>
      </c>
      <c r="L25" s="217">
        <v>48662</v>
      </c>
      <c r="M25" s="218">
        <f t="shared" si="19"/>
        <v>22.911840593630526</v>
      </c>
      <c r="N25" s="218">
        <f t="shared" si="1"/>
        <v>212388</v>
      </c>
      <c r="O25" s="218">
        <f t="shared" si="1"/>
        <v>100</v>
      </c>
      <c r="P25" s="217">
        <v>96214</v>
      </c>
      <c r="Q25" s="218">
        <f t="shared" si="2"/>
        <v>63.199726743651382</v>
      </c>
      <c r="R25" s="217">
        <v>7362</v>
      </c>
      <c r="S25" s="218">
        <f t="shared" si="3"/>
        <v>4.8358491309659879</v>
      </c>
      <c r="T25" s="217">
        <v>48662</v>
      </c>
      <c r="U25" s="218">
        <f t="shared" si="4"/>
        <v>31.964424125382624</v>
      </c>
      <c r="V25" s="218">
        <f t="shared" si="5"/>
        <v>152238</v>
      </c>
      <c r="W25" s="222">
        <f t="shared" si="5"/>
        <v>100</v>
      </c>
      <c r="X25" s="217">
        <v>73</v>
      </c>
      <c r="Y25" s="217">
        <v>44</v>
      </c>
      <c r="Z25" s="218">
        <f t="shared" si="6"/>
        <v>117</v>
      </c>
      <c r="AA25" s="217">
        <v>1318</v>
      </c>
      <c r="AB25" s="218">
        <v>1247</v>
      </c>
      <c r="AC25" s="219">
        <v>388</v>
      </c>
      <c r="AD25" s="218">
        <v>17570</v>
      </c>
      <c r="AE25" s="219">
        <f t="shared" si="7"/>
        <v>36.106201964571945</v>
      </c>
      <c r="AF25" s="217">
        <v>5770</v>
      </c>
      <c r="AG25" s="220">
        <v>128</v>
      </c>
      <c r="AH25" s="218">
        <f t="shared" si="8"/>
        <v>738560</v>
      </c>
      <c r="AI25" s="218">
        <f t="shared" si="9"/>
        <v>526172</v>
      </c>
      <c r="AJ25" s="219">
        <f t="shared" si="10"/>
        <v>586322</v>
      </c>
      <c r="AK25" s="218">
        <f t="shared" si="11"/>
        <v>5833.6410256410254</v>
      </c>
      <c r="AL25" s="221">
        <f t="shared" si="12"/>
        <v>4.85135117381994</v>
      </c>
      <c r="AM25" s="221">
        <f t="shared" si="13"/>
        <v>36.809012131715768</v>
      </c>
      <c r="AN25" s="221">
        <f t="shared" si="14"/>
        <v>26.384402079722705</v>
      </c>
      <c r="AO25" s="218">
        <f t="shared" si="15"/>
        <v>1659.28125</v>
      </c>
      <c r="AP25" s="218">
        <f t="shared" si="16"/>
        <v>1189.359375</v>
      </c>
      <c r="AQ25" s="222">
        <v>0.5</v>
      </c>
      <c r="AR25" s="222">
        <v>0.3</v>
      </c>
      <c r="AS25" s="314"/>
      <c r="AT25" s="323"/>
      <c r="AU25" s="213"/>
      <c r="AV25" s="213"/>
      <c r="AW25" s="213"/>
      <c r="AX25" s="213"/>
      <c r="AY25" s="213"/>
      <c r="AZ25" s="213"/>
      <c r="BA25" s="213"/>
      <c r="BB25" s="213"/>
      <c r="BC25" s="213"/>
      <c r="BD25" s="213"/>
      <c r="BE25" s="213"/>
      <c r="BF25" s="213"/>
      <c r="BG25" s="213"/>
      <c r="BH25" s="213"/>
    </row>
    <row r="26" spans="1:60">
      <c r="A26" s="215">
        <v>17</v>
      </c>
      <c r="B26" s="215" t="s">
        <v>315</v>
      </c>
      <c r="C26" s="215" t="s">
        <v>152</v>
      </c>
      <c r="D26" s="215" t="s">
        <v>294</v>
      </c>
      <c r="E26" s="317">
        <v>215140</v>
      </c>
      <c r="F26" s="317">
        <v>121050</v>
      </c>
      <c r="G26" s="218">
        <f t="shared" si="0"/>
        <v>56.265687459328802</v>
      </c>
      <c r="H26" s="217">
        <v>142832</v>
      </c>
      <c r="I26" s="218">
        <f t="shared" si="17"/>
        <v>66.3902575067398</v>
      </c>
      <c r="J26" s="218">
        <v>9367</v>
      </c>
      <c r="K26" s="218">
        <f t="shared" si="18"/>
        <v>4.3539090824579345</v>
      </c>
      <c r="L26" s="217">
        <v>62941</v>
      </c>
      <c r="M26" s="320">
        <v>30</v>
      </c>
      <c r="N26" s="218">
        <f t="shared" si="1"/>
        <v>215140</v>
      </c>
      <c r="O26" s="320">
        <v>100</v>
      </c>
      <c r="P26" s="217">
        <v>55020</v>
      </c>
      <c r="Q26" s="320">
        <v>44</v>
      </c>
      <c r="R26" s="223">
        <v>6118</v>
      </c>
      <c r="S26" s="218">
        <f t="shared" si="3"/>
        <v>5.0541098719537381</v>
      </c>
      <c r="T26" s="217">
        <v>59912</v>
      </c>
      <c r="U26" s="320">
        <v>51</v>
      </c>
      <c r="V26" s="218">
        <f t="shared" si="5"/>
        <v>121050</v>
      </c>
      <c r="W26" s="321">
        <v>100</v>
      </c>
      <c r="X26" s="217">
        <v>42</v>
      </c>
      <c r="Y26" s="217">
        <v>67</v>
      </c>
      <c r="Z26" s="218">
        <f t="shared" si="6"/>
        <v>109</v>
      </c>
      <c r="AA26" s="217">
        <v>1310</v>
      </c>
      <c r="AB26" s="218">
        <v>630</v>
      </c>
      <c r="AC26" s="219">
        <v>222</v>
      </c>
      <c r="AD26" s="218">
        <v>8478</v>
      </c>
      <c r="AE26" s="219">
        <f t="shared" si="7"/>
        <v>13.469757391843155</v>
      </c>
      <c r="AF26" s="217">
        <v>3267</v>
      </c>
      <c r="AG26" s="220">
        <v>121</v>
      </c>
      <c r="AH26" s="218">
        <f t="shared" si="8"/>
        <v>395307</v>
      </c>
      <c r="AI26" s="218">
        <f t="shared" si="9"/>
        <v>180167</v>
      </c>
      <c r="AJ26" s="219">
        <f t="shared" si="10"/>
        <v>274257</v>
      </c>
      <c r="AK26" s="218">
        <f t="shared" si="11"/>
        <v>3020.8899082568805</v>
      </c>
      <c r="AL26" s="221">
        <f t="shared" si="12"/>
        <v>3.2656505576208179</v>
      </c>
      <c r="AM26" s="221">
        <f t="shared" si="13"/>
        <v>65.852464034282221</v>
      </c>
      <c r="AN26" s="221">
        <f t="shared" si="14"/>
        <v>37.052341597796143</v>
      </c>
      <c r="AO26" s="218">
        <f t="shared" si="15"/>
        <v>1778.0165289256199</v>
      </c>
      <c r="AP26" s="218">
        <f t="shared" si="16"/>
        <v>1000.4132231404959</v>
      </c>
      <c r="AQ26" s="222">
        <v>0.5</v>
      </c>
      <c r="AR26" s="222">
        <v>0.3</v>
      </c>
      <c r="AS26" s="314"/>
      <c r="AT26" s="213"/>
      <c r="AU26" s="213"/>
      <c r="AV26" s="213"/>
      <c r="AW26" s="213"/>
      <c r="AX26" s="213"/>
      <c r="AY26" s="213"/>
      <c r="AZ26" s="213"/>
      <c r="BA26" s="213"/>
      <c r="BB26" s="213"/>
      <c r="BC26" s="213"/>
      <c r="BD26" s="213"/>
      <c r="BE26" s="213"/>
      <c r="BF26" s="213"/>
      <c r="BG26" s="213"/>
      <c r="BH26" s="213"/>
    </row>
    <row r="27" spans="1:60">
      <c r="A27" s="215">
        <v>18</v>
      </c>
      <c r="B27" s="215" t="s">
        <v>316</v>
      </c>
      <c r="C27" s="215" t="s">
        <v>152</v>
      </c>
      <c r="D27" s="215" t="s">
        <v>294</v>
      </c>
      <c r="E27" s="322">
        <v>273149</v>
      </c>
      <c r="F27" s="322">
        <v>115911</v>
      </c>
      <c r="G27" s="219">
        <f t="shared" si="0"/>
        <v>42.435081219407721</v>
      </c>
      <c r="H27" s="223">
        <v>191936</v>
      </c>
      <c r="I27" s="218">
        <f t="shared" si="17"/>
        <v>70.267875774760284</v>
      </c>
      <c r="J27" s="223">
        <v>9279</v>
      </c>
      <c r="K27" s="218">
        <f t="shared" si="18"/>
        <v>3.3970470329380662</v>
      </c>
      <c r="L27" s="223">
        <v>71934</v>
      </c>
      <c r="M27" s="320">
        <v>27</v>
      </c>
      <c r="N27" s="218">
        <f t="shared" si="1"/>
        <v>273149</v>
      </c>
      <c r="O27" s="320">
        <v>100</v>
      </c>
      <c r="P27" s="223">
        <v>36352</v>
      </c>
      <c r="Q27" s="218">
        <f t="shared" si="2"/>
        <v>31.361993253444453</v>
      </c>
      <c r="R27" s="223">
        <v>7625</v>
      </c>
      <c r="S27" s="218">
        <f t="shared" si="3"/>
        <v>6.5783230236992178</v>
      </c>
      <c r="T27" s="223">
        <v>71934</v>
      </c>
      <c r="U27" s="218">
        <f t="shared" si="4"/>
        <v>62.059683722856327</v>
      </c>
      <c r="V27" s="219">
        <f t="shared" si="5"/>
        <v>115911</v>
      </c>
      <c r="W27" s="222">
        <f t="shared" si="5"/>
        <v>100</v>
      </c>
      <c r="X27" s="223">
        <v>32</v>
      </c>
      <c r="Y27" s="223">
        <v>133</v>
      </c>
      <c r="Z27" s="219">
        <f t="shared" si="6"/>
        <v>165</v>
      </c>
      <c r="AA27" s="223">
        <v>1136</v>
      </c>
      <c r="AB27" s="219">
        <v>933</v>
      </c>
      <c r="AC27" s="219">
        <f>61+233</f>
        <v>294</v>
      </c>
      <c r="AD27" s="219">
        <v>13009</v>
      </c>
      <c r="AE27" s="219">
        <f t="shared" si="7"/>
        <v>18.084633135930158</v>
      </c>
      <c r="AF27" s="223">
        <v>8782</v>
      </c>
      <c r="AG27" s="224">
        <v>81</v>
      </c>
      <c r="AH27" s="219">
        <f t="shared" si="8"/>
        <v>711342</v>
      </c>
      <c r="AI27" s="219">
        <f t="shared" si="9"/>
        <v>438193</v>
      </c>
      <c r="AJ27" s="219">
        <f t="shared" si="10"/>
        <v>595431</v>
      </c>
      <c r="AK27" s="219">
        <f t="shared" si="11"/>
        <v>3828.9878787878788</v>
      </c>
      <c r="AL27" s="225">
        <f t="shared" si="12"/>
        <v>6.1369671558350802</v>
      </c>
      <c r="AM27" s="225">
        <f t="shared" si="13"/>
        <v>31.103279435208382</v>
      </c>
      <c r="AN27" s="225">
        <f t="shared" si="14"/>
        <v>13.198701890230016</v>
      </c>
      <c r="AO27" s="219">
        <f t="shared" si="15"/>
        <v>3372.2098765432097</v>
      </c>
      <c r="AP27" s="219">
        <f t="shared" si="16"/>
        <v>1431</v>
      </c>
      <c r="AQ27" s="226">
        <v>0.4</v>
      </c>
      <c r="AR27" s="226">
        <v>0.3</v>
      </c>
      <c r="AS27" s="314"/>
      <c r="AT27" s="323"/>
      <c r="AU27" s="323"/>
      <c r="AV27" s="323"/>
      <c r="AW27" s="323"/>
      <c r="AX27" s="323"/>
      <c r="AY27" s="323"/>
      <c r="AZ27" s="323"/>
      <c r="BA27" s="323"/>
      <c r="BB27" s="323"/>
      <c r="BC27" s="323"/>
      <c r="BD27" s="323"/>
      <c r="BE27" s="323"/>
      <c r="BF27" s="323"/>
      <c r="BG27" s="323"/>
      <c r="BH27" s="323"/>
    </row>
    <row r="28" spans="1:60">
      <c r="A28" s="215">
        <v>19</v>
      </c>
      <c r="B28" s="215" t="s">
        <v>316</v>
      </c>
      <c r="C28" s="215" t="s">
        <v>317</v>
      </c>
      <c r="D28" s="215" t="s">
        <v>294</v>
      </c>
      <c r="E28" s="322">
        <v>231788</v>
      </c>
      <c r="F28" s="322">
        <v>129383</v>
      </c>
      <c r="G28" s="218">
        <f t="shared" si="0"/>
        <v>55.819541995271535</v>
      </c>
      <c r="H28" s="223">
        <v>164013</v>
      </c>
      <c r="I28" s="218">
        <f t="shared" si="17"/>
        <v>70.759918546257779</v>
      </c>
      <c r="J28" s="223">
        <v>11411</v>
      </c>
      <c r="K28" s="218">
        <f t="shared" si="18"/>
        <v>4.9230331164684973</v>
      </c>
      <c r="L28" s="223">
        <v>56364</v>
      </c>
      <c r="M28" s="218">
        <f t="shared" si="19"/>
        <v>24.317048337273718</v>
      </c>
      <c r="N28" s="218">
        <f t="shared" si="1"/>
        <v>231788</v>
      </c>
      <c r="O28" s="218">
        <f t="shared" si="1"/>
        <v>100</v>
      </c>
      <c r="P28" s="223">
        <v>62150</v>
      </c>
      <c r="Q28" s="218">
        <f t="shared" si="2"/>
        <v>48.035677020937833</v>
      </c>
      <c r="R28" s="223">
        <v>10869</v>
      </c>
      <c r="S28" s="218">
        <f t="shared" si="3"/>
        <v>8.4006399604275686</v>
      </c>
      <c r="T28" s="223">
        <v>56364</v>
      </c>
      <c r="U28" s="218">
        <f t="shared" si="4"/>
        <v>43.563683018634599</v>
      </c>
      <c r="V28" s="218">
        <f t="shared" si="5"/>
        <v>129383</v>
      </c>
      <c r="W28" s="222">
        <f t="shared" si="5"/>
        <v>100</v>
      </c>
      <c r="X28" s="223">
        <v>50</v>
      </c>
      <c r="Y28" s="223">
        <v>82</v>
      </c>
      <c r="Z28" s="218">
        <f t="shared" si="6"/>
        <v>132</v>
      </c>
      <c r="AA28" s="223">
        <v>1243</v>
      </c>
      <c r="AB28" s="219"/>
      <c r="AC28" s="219">
        <f>334+47</f>
        <v>381</v>
      </c>
      <c r="AD28" s="219">
        <v>14512</v>
      </c>
      <c r="AE28" s="219">
        <f t="shared" si="7"/>
        <v>25.74693066496345</v>
      </c>
      <c r="AF28" s="223">
        <v>7110</v>
      </c>
      <c r="AG28" s="224">
        <v>58</v>
      </c>
      <c r="AH28" s="218">
        <f t="shared" si="8"/>
        <v>412380</v>
      </c>
      <c r="AI28" s="218">
        <f t="shared" si="9"/>
        <v>180592</v>
      </c>
      <c r="AJ28" s="219">
        <f t="shared" si="10"/>
        <v>282997</v>
      </c>
      <c r="AK28" s="218">
        <f t="shared" si="11"/>
        <v>2614.75</v>
      </c>
      <c r="AL28" s="221">
        <f t="shared" si="12"/>
        <v>3.1872811729516242</v>
      </c>
      <c r="AM28" s="221">
        <f t="shared" si="13"/>
        <v>32.600281293952179</v>
      </c>
      <c r="AN28" s="221">
        <f t="shared" si="14"/>
        <v>18.197327707454289</v>
      </c>
      <c r="AO28" s="218">
        <f t="shared" si="15"/>
        <v>3996.344827586207</v>
      </c>
      <c r="AP28" s="218">
        <f t="shared" si="16"/>
        <v>2230.7413793103447</v>
      </c>
      <c r="AQ28" s="222">
        <v>0.8</v>
      </c>
      <c r="AR28" s="226">
        <v>0.5</v>
      </c>
      <c r="AS28" s="314"/>
      <c r="AT28" s="323"/>
      <c r="AU28" s="323"/>
      <c r="AV28" s="323"/>
      <c r="AW28" s="323"/>
      <c r="AX28" s="323"/>
      <c r="AY28" s="323"/>
      <c r="AZ28" s="323"/>
      <c r="BA28" s="323"/>
      <c r="BB28" s="323"/>
      <c r="BC28" s="323"/>
      <c r="BD28" s="323"/>
      <c r="BE28" s="323"/>
      <c r="BF28" s="323"/>
      <c r="BG28" s="323"/>
      <c r="BH28" s="323"/>
    </row>
    <row r="29" spans="1:60">
      <c r="A29" s="227"/>
      <c r="B29" s="227"/>
      <c r="C29" s="186"/>
      <c r="D29" s="186"/>
      <c r="E29" s="186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  <c r="AA29" s="186"/>
      <c r="AB29" s="186"/>
      <c r="AC29" s="227"/>
      <c r="AD29" s="186"/>
      <c r="AE29" s="186"/>
      <c r="AF29" s="228"/>
      <c r="AG29" s="186"/>
      <c r="AH29" s="186"/>
      <c r="AI29" s="186"/>
      <c r="AJ29" s="186"/>
      <c r="AK29" s="186"/>
      <c r="AL29" s="186"/>
      <c r="AM29" s="228"/>
      <c r="AN29" s="228"/>
      <c r="AO29" s="186"/>
      <c r="AP29" s="186"/>
      <c r="AQ29" s="186"/>
      <c r="AR29" s="186"/>
      <c r="AS29" s="325"/>
      <c r="AT29" s="186"/>
      <c r="AU29" s="186"/>
      <c r="AV29" s="186"/>
      <c r="AW29" s="186"/>
      <c r="AX29" s="186"/>
      <c r="AY29" s="186"/>
      <c r="AZ29" s="186"/>
      <c r="BA29" s="186"/>
      <c r="BB29" s="186"/>
      <c r="BC29" s="186"/>
      <c r="BD29" s="186"/>
      <c r="BE29" s="186"/>
      <c r="BF29" s="186"/>
      <c r="BG29" s="186"/>
      <c r="BH29" s="186"/>
    </row>
    <row r="30" spans="1:60">
      <c r="A30" s="229"/>
      <c r="B30" s="230"/>
      <c r="C30" s="229"/>
      <c r="D30" s="229"/>
      <c r="E30" s="229"/>
      <c r="F30" s="229"/>
      <c r="G30" s="229"/>
      <c r="H30" s="229"/>
      <c r="I30" s="229"/>
      <c r="J30" s="229"/>
      <c r="K30" s="229"/>
      <c r="L30" s="229"/>
      <c r="M30" s="229"/>
      <c r="N30" s="229"/>
      <c r="O30" s="229"/>
      <c r="P30" s="229"/>
      <c r="Q30" s="229"/>
      <c r="R30" s="229"/>
      <c r="S30" s="229"/>
      <c r="T30" s="229"/>
      <c r="U30" s="229"/>
      <c r="V30" s="229"/>
      <c r="W30" s="229"/>
      <c r="X30" s="229"/>
      <c r="Y30" s="229"/>
      <c r="Z30" s="229"/>
      <c r="AA30" s="229"/>
      <c r="AB30" s="230"/>
      <c r="AC30" s="230"/>
      <c r="AD30" s="229"/>
      <c r="AE30" s="229"/>
      <c r="AF30" s="229"/>
      <c r="AG30" s="229"/>
      <c r="AH30" s="229"/>
      <c r="AI30" s="229"/>
      <c r="AJ30" s="229"/>
      <c r="AK30" s="229"/>
      <c r="AL30" s="229"/>
      <c r="AM30" s="229"/>
      <c r="AN30" s="229"/>
      <c r="AO30" s="229"/>
      <c r="AP30" s="229"/>
      <c r="AQ30" s="229"/>
      <c r="AR30" s="229"/>
      <c r="AS30" s="326"/>
      <c r="AT30" s="229"/>
      <c r="AU30" s="229"/>
      <c r="AV30" s="229"/>
      <c r="AW30" s="229"/>
      <c r="AX30" s="229"/>
      <c r="AY30" s="229"/>
      <c r="AZ30" s="229"/>
      <c r="BA30" s="229"/>
      <c r="BB30" s="229"/>
      <c r="BC30" s="229"/>
      <c r="BD30" s="229"/>
      <c r="BE30" s="229"/>
      <c r="BF30" s="229"/>
      <c r="BG30" s="229"/>
      <c r="BH30" s="229"/>
    </row>
  </sheetData>
  <mergeCells count="3">
    <mergeCell ref="A4:I4"/>
    <mergeCell ref="H6:O6"/>
    <mergeCell ref="P6: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Maize Badulla</vt:lpstr>
      <vt:lpstr>Cowpea Ampara RF</vt:lpstr>
      <vt:lpstr>Big onion Matale</vt:lpstr>
      <vt:lpstr>Green chilli A pura</vt:lpstr>
      <vt:lpstr>Red onion Puttlam</vt:lpstr>
      <vt:lpstr>Red onion Trinco</vt:lpstr>
      <vt:lpstr>Gingelly A Pura RF</vt:lpstr>
      <vt:lpstr>Soya bean SystemH</vt:lpstr>
      <vt:lpstr>Manioc Gampaha RF</vt:lpstr>
      <vt:lpstr>Potato Badulla</vt:lpstr>
      <vt:lpstr>Potato N eliya</vt:lpstr>
      <vt:lpstr>Sweet potato Matale</vt:lpstr>
      <vt:lpstr>Brinjal Hambantota</vt:lpstr>
      <vt:lpstr>Bitter gourd Hambantota</vt:lpstr>
      <vt:lpstr>Cabbage N Eliya</vt:lpstr>
      <vt:lpstr>Carrot N Eliya</vt:lpstr>
      <vt:lpstr>Pole bean Badulla</vt:lpstr>
      <vt:lpstr>Tomato Badulla</vt:lpstr>
      <vt:lpstr>Tomato Kandy</vt:lpstr>
      <vt:lpstr>Statistical Table OFC  2019 Yal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wathsala</dc:creator>
  <cp:lastModifiedBy>ADMIN</cp:lastModifiedBy>
  <dcterms:created xsi:type="dcterms:W3CDTF">2020-05-26T08:14:17Z</dcterms:created>
  <dcterms:modified xsi:type="dcterms:W3CDTF">2021-01-08T05:51:22Z</dcterms:modified>
</cp:coreProperties>
</file>